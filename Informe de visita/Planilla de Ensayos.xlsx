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ámetros de Proceso" sheetId="1" r:id="rId5"/>
    <sheet state="visible" name="Fotos" sheetId="2" r:id="rId6"/>
    <sheet state="visible" name="Análisis Reológico" sheetId="3" r:id="rId7"/>
    <sheet state="visible" name="1-Actual" sheetId="4" r:id="rId8"/>
    <sheet state="visible" name="2-Actual Proceso" sheetId="5" r:id="rId9"/>
    <sheet state="visible" name="3-Actual Proceso y ajuste F" sheetId="6" r:id="rId10"/>
    <sheet state="visible" name="4-Formulacion Productos existen" sheetId="7" r:id="rId11"/>
    <sheet state="visible" name="5-Formulacion 3" sheetId="8" r:id="rId12"/>
    <sheet state="visible" name="Datos" sheetId="9" r:id="rId13"/>
  </sheets>
  <definedNames>
    <definedName hidden="1" localSheetId="8" name="_xlnm._FilterDatabase">Datos!$B$2:$D$52</definedName>
  </definedNames>
  <calcPr/>
</workbook>
</file>

<file path=xl/sharedStrings.xml><?xml version="1.0" encoding="utf-8"?>
<sst xmlns="http://schemas.openxmlformats.org/spreadsheetml/2006/main" count="219" uniqueCount="118">
  <si>
    <t>Tº</t>
  </si>
  <si>
    <t xml:space="preserve">FECHA:  </t>
  </si>
  <si>
    <t>Agua</t>
  </si>
  <si>
    <t xml:space="preserve">Harina </t>
  </si>
  <si>
    <t>Registro Fotográfico de Ensayos</t>
  </si>
  <si>
    <t>Propiedad</t>
  </si>
  <si>
    <t>Ambiente</t>
  </si>
  <si>
    <t>Nº de Ensayo</t>
  </si>
  <si>
    <t>FORMULACION</t>
  </si>
  <si>
    <t>Fecha</t>
  </si>
  <si>
    <t>Producto</t>
  </si>
  <si>
    <t>Unidad</t>
  </si>
  <si>
    <t>Formulación</t>
  </si>
  <si>
    <t>Foto: Amasado</t>
  </si>
  <si>
    <t>Foto: Crudo</t>
  </si>
  <si>
    <t>Foto: Horneado</t>
  </si>
  <si>
    <t>Observaciones</t>
  </si>
  <si>
    <t xml:space="preserve">Harina Base (g): </t>
  </si>
  <si>
    <t>Humedad</t>
  </si>
  <si>
    <t>%</t>
  </si>
  <si>
    <t>Gluten Húmedo</t>
  </si>
  <si>
    <t>W (Fuerza)</t>
  </si>
  <si>
    <t>Relación P/L</t>
  </si>
  <si>
    <t>Cenizas</t>
  </si>
  <si>
    <t>Gluten Seco</t>
  </si>
  <si>
    <t>Gluten Index</t>
  </si>
  <si>
    <t>Sal (g):</t>
  </si>
  <si>
    <t>Falling Number</t>
  </si>
  <si>
    <t>s</t>
  </si>
  <si>
    <t>Tenacidad (P)</t>
  </si>
  <si>
    <t>Extensibilidad (L)</t>
  </si>
  <si>
    <t>mm</t>
  </si>
  <si>
    <t>Daño Almidón</t>
  </si>
  <si>
    <t>Levadura:</t>
  </si>
  <si>
    <t>Agua 1</t>
  </si>
  <si>
    <t>AMASADO</t>
  </si>
  <si>
    <t>Pan de Miga</t>
  </si>
  <si>
    <t>Tiempo Vel. 1</t>
  </si>
  <si>
    <t>Tiempo Vel. 2</t>
  </si>
  <si>
    <t>Receta</t>
  </si>
  <si>
    <t>Tempertaura Final</t>
  </si>
  <si>
    <t>Peso Ensayo grs</t>
  </si>
  <si>
    <t>ARMADO</t>
  </si>
  <si>
    <t>Harina Inglesera Mol Arg</t>
  </si>
  <si>
    <t>Peso Pieza</t>
  </si>
  <si>
    <t>Sal fina</t>
  </si>
  <si>
    <t xml:space="preserve">DESCANSO </t>
  </si>
  <si>
    <t>Tiempo (min.)</t>
  </si>
  <si>
    <t>FERMENTACION</t>
  </si>
  <si>
    <t>Levadura Fresca</t>
  </si>
  <si>
    <t>Inicio</t>
  </si>
  <si>
    <t>Fin</t>
  </si>
  <si>
    <t>Aditivos</t>
  </si>
  <si>
    <t xml:space="preserve"> grs/100kg</t>
  </si>
  <si>
    <t>Alfa A 100.000 skb danisco</t>
  </si>
  <si>
    <t>Total</t>
  </si>
  <si>
    <t>HORNEADO</t>
  </si>
  <si>
    <t>Temperatura horno</t>
  </si>
  <si>
    <t>Tiempo</t>
  </si>
  <si>
    <t>Almidón pregel Bufallo</t>
  </si>
  <si>
    <t>ASPECTO</t>
  </si>
  <si>
    <t>Propionato de calcio</t>
  </si>
  <si>
    <t>Granozyme AFH</t>
  </si>
  <si>
    <t>Azucar comun</t>
  </si>
  <si>
    <t>L-Cisteina</t>
  </si>
  <si>
    <t>Sub total Aditivos</t>
  </si>
  <si>
    <t>Mejorador</t>
  </si>
  <si>
    <t>MejorMiga Calsa</t>
  </si>
  <si>
    <t>grs/kg</t>
  </si>
  <si>
    <t>C</t>
  </si>
  <si>
    <t>Sub total Mejorador</t>
  </si>
  <si>
    <t>PAN FRANCES</t>
  </si>
  <si>
    <t xml:space="preserve"> grs/100 kg</t>
  </si>
  <si>
    <t>$/kg</t>
  </si>
  <si>
    <t>Costo dosis</t>
  </si>
  <si>
    <t>SuperGluten</t>
  </si>
  <si>
    <t>Harina 000 SA</t>
  </si>
  <si>
    <t>Precios x kg</t>
  </si>
  <si>
    <t>Proveedor</t>
  </si>
  <si>
    <t>Acido ascorbico</t>
  </si>
  <si>
    <t>Ada 23%</t>
  </si>
  <si>
    <t>Ada 99%</t>
  </si>
  <si>
    <t>Calsa MAX</t>
  </si>
  <si>
    <t>Calsa MejorMiga</t>
  </si>
  <si>
    <t>Formula 1</t>
  </si>
  <si>
    <t>Gluten vital</t>
  </si>
  <si>
    <t>Granoplus 35</t>
  </si>
  <si>
    <t>Granoplus concetrate</t>
  </si>
  <si>
    <t>Granoplus frescura</t>
  </si>
  <si>
    <t>Granoplus Magic</t>
  </si>
  <si>
    <t>Granozyme A2H</t>
  </si>
  <si>
    <t>Granozyme EM-I</t>
  </si>
  <si>
    <t>Almidón pregel</t>
  </si>
  <si>
    <t>Granozyme HLG</t>
  </si>
  <si>
    <t>Harina 000 CA</t>
  </si>
  <si>
    <t>Azúcar</t>
  </si>
  <si>
    <t>Harina 000 SL</t>
  </si>
  <si>
    <t>Harina 0000 CA</t>
  </si>
  <si>
    <t>Harina 0000 SA</t>
  </si>
  <si>
    <t>Monozyme Gluten Booster</t>
  </si>
  <si>
    <t>Harina Inglesera AM</t>
  </si>
  <si>
    <t>Harina Inglesera Cabodi</t>
  </si>
  <si>
    <t>Harina Inglesera Lago</t>
  </si>
  <si>
    <t>Levadura prensada</t>
  </si>
  <si>
    <t>Levadura seca</t>
  </si>
  <si>
    <t>Levamix AL</t>
  </si>
  <si>
    <t>MGD 90%</t>
  </si>
  <si>
    <t>SSL</t>
  </si>
  <si>
    <t>Materia grasa</t>
  </si>
  <si>
    <t>Monozyme 2078</t>
  </si>
  <si>
    <t>Monozyme Balance</t>
  </si>
  <si>
    <t>Monozyme GR5</t>
  </si>
  <si>
    <t>Monozyme Bolleria</t>
  </si>
  <si>
    <t>Monozyme SP 930</t>
  </si>
  <si>
    <t>Sapore Rigoleto</t>
  </si>
  <si>
    <t>Semolin de trigo</t>
  </si>
  <si>
    <t>Softer Alpaca</t>
  </si>
  <si>
    <t>TaxoPan concentrado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</si>
</sst>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/mm/yyyy"/>
    <numFmt numFmtId="166" formatCode="_-* #,##0.00\ &quot;€&quot;_-;\-* #,##0.00\ &quot;€&quot;_-;_-* &quot;-&quot;??\ &quot;€&quot;_-;_-@"/>
    <numFmt numFmtId="167" formatCode="0.000"/>
  </numFmts>
  <fonts count="24">
    <font>
      <sz val="11.0"/>
      <color theme="1"/>
      <name val="Calibri"/>
      <scheme val="minor"/>
    </font>
    <font>
      <sz val="12.0"/>
      <color theme="1"/>
      <name val="Lato"/>
    </font>
    <font>
      <b/>
      <u/>
      <sz val="12.0"/>
      <color rgb="FF0000FF"/>
      <name val="Lato"/>
    </font>
    <font>
      <b/>
      <sz val="12.0"/>
      <color theme="1"/>
      <name val="Lato"/>
    </font>
    <font>
      <sz val="12.0"/>
      <color rgb="FF76923C"/>
      <name val="Lato"/>
    </font>
    <font>
      <sz val="12.0"/>
      <color rgb="FFC00000"/>
      <name val="Lato"/>
    </font>
    <font>
      <b/>
      <sz val="18.0"/>
      <color rgb="FF855318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2.0"/>
      <color rgb="FFE36C09"/>
      <name val="Lato"/>
    </font>
    <font>
      <b/>
      <sz val="12.0"/>
      <color rgb="FF000000"/>
      <name val="Lato"/>
    </font>
    <font>
      <sz val="12.0"/>
      <color rgb="FF000000"/>
      <name val="Lato"/>
    </font>
    <font>
      <sz val="14.0"/>
      <color theme="1"/>
      <name val="Lato"/>
    </font>
    <font>
      <b/>
      <u/>
      <sz val="14.0"/>
      <color theme="1"/>
      <name val="Lato"/>
    </font>
    <font>
      <b/>
      <sz val="14.0"/>
      <color theme="1"/>
      <name val="Lato"/>
    </font>
    <font>
      <b/>
      <sz val="14.0"/>
      <color rgb="FF000000"/>
      <name val="Lato"/>
    </font>
    <font>
      <b/>
      <sz val="14.0"/>
      <color rgb="FFD9D9D9"/>
      <name val="Lato"/>
    </font>
    <font>
      <sz val="14.0"/>
      <color rgb="FF76923C"/>
      <name val="Lato"/>
    </font>
    <font>
      <b/>
      <color rgb="FF1F1F1F"/>
      <name val="Lato"/>
    </font>
    <font>
      <sz val="12.0"/>
      <color rgb="FF1F1F1F"/>
      <name val="Lato"/>
    </font>
    <font>
      <color rgb="FF1F1F1F"/>
      <name val="&quot;Google Sans Mono&quot;"/>
    </font>
    <font>
      <b/>
      <color theme="1"/>
      <name val="Arial"/>
    </font>
    <font>
      <sz val="11.0"/>
      <color rgb="FF000000"/>
      <name val="Lato"/>
    </font>
    <font>
      <b/>
      <sz val="11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855318"/>
        <bgColor rgb="FF855318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C6D9F0"/>
        <bgColor rgb="FFC6D9F0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</fills>
  <borders count="33">
    <border/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837468"/>
      </left>
      <right style="thin">
        <color rgb="FF837468"/>
      </right>
      <top style="thin">
        <color rgb="FF837468"/>
      </top>
      <bottom style="thin">
        <color rgb="FF837468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2" fontId="2" numFmtId="0" xfId="0" applyFill="1" applyFont="1"/>
    <xf borderId="1" fillId="2" fontId="3" numFmtId="0" xfId="0" applyAlignment="1" applyBorder="1" applyFill="1" applyFont="1">
      <alignment readingOrder="0"/>
    </xf>
    <xf borderId="2" fillId="2" fontId="3" numFmtId="0" xfId="0" applyAlignment="1" applyBorder="1" applyFill="1" applyFont="1">
      <alignment horizontal="center" readingOrder="0"/>
    </xf>
    <xf borderId="0" fillId="0" fontId="3" numFmtId="164" xfId="0" applyAlignment="1" applyFont="1" applyNumberFormat="1">
      <alignment horizontal="left"/>
    </xf>
    <xf borderId="3" fillId="0" fontId="3" numFmtId="0" xfId="0" applyAlignment="1" applyBorder="1" applyFont="1">
      <alignment horizontal="left"/>
    </xf>
    <xf borderId="3" fillId="0" fontId="1" numFmtId="0" xfId="0" applyAlignment="1" applyBorder="1" applyFont="1">
      <alignment horizontal="center"/>
    </xf>
    <xf borderId="0" fillId="0" fontId="4" numFmtId="0" xfId="0" applyAlignment="1" applyFont="1">
      <alignment horizontal="left"/>
    </xf>
    <xf borderId="4" fillId="0" fontId="3" numFmtId="0" xfId="0" applyAlignment="1" applyBorder="1" applyFont="1">
      <alignment horizontal="left"/>
    </xf>
    <xf borderId="4" fillId="0" fontId="1" numFmtId="0" xfId="0" applyAlignment="1" applyBorder="1" applyFont="1">
      <alignment horizontal="center"/>
    </xf>
    <xf borderId="0" fillId="0" fontId="5" numFmtId="0" xfId="0" applyAlignment="1" applyFont="1">
      <alignment horizontal="left"/>
    </xf>
    <xf borderId="0" fillId="0" fontId="6" numFmtId="0" xfId="0" applyFont="1"/>
    <xf borderId="0" fillId="0" fontId="3" numFmtId="0" xfId="0" applyFont="1"/>
    <xf borderId="5" fillId="0" fontId="3" numFmtId="0" xfId="0" applyAlignment="1" applyBorder="1" applyFont="1">
      <alignment horizontal="left"/>
    </xf>
    <xf borderId="6" fillId="0" fontId="1" numFmtId="0" xfId="0" applyAlignment="1" applyBorder="1" applyFont="1">
      <alignment horizontal="center"/>
    </xf>
    <xf borderId="7" fillId="3" fontId="7" numFmtId="0" xfId="0" applyAlignment="1" applyBorder="1" applyFill="1" applyFont="1">
      <alignment horizontal="center" readingOrder="0" vertical="center"/>
    </xf>
    <xf borderId="0" fillId="0" fontId="8" numFmtId="0" xfId="0" applyAlignment="1" applyFont="1">
      <alignment horizontal="left" readingOrder="0" shrinkToFit="0" vertical="center" wrapText="0"/>
    </xf>
    <xf borderId="8" fillId="2" fontId="3" numFmtId="0" xfId="0" applyAlignment="1" applyBorder="1" applyFill="1" applyFont="1">
      <alignment horizontal="left"/>
    </xf>
    <xf borderId="0" fillId="2" fontId="3" numFmtId="0" xfId="0" applyAlignment="1" applyFill="1" applyFont="1">
      <alignment horizontal="center" readingOrder="0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1" numFmtId="9" xfId="0" applyAlignment="1" applyFont="1" applyNumberFormat="1">
      <alignment horizontal="center" readingOrder="0"/>
    </xf>
    <xf borderId="0" fillId="0" fontId="8" numFmtId="0" xfId="0" applyAlignment="1" applyFont="1">
      <alignment shrinkToFit="0" vertical="center" wrapText="0"/>
    </xf>
    <xf borderId="7" fillId="0" fontId="8" numFmtId="0" xfId="0" applyBorder="1" applyFont="1"/>
    <xf borderId="7" fillId="0" fontId="8" numFmtId="165" xfId="0" applyBorder="1" applyFont="1" applyNumberFormat="1"/>
    <xf borderId="9" fillId="4" fontId="1" numFmtId="10" xfId="0" applyAlignment="1" applyBorder="1" applyFill="1" applyFont="1" applyNumberForma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0" fontId="1" numFmtId="0" xfId="0" applyAlignment="1" applyFont="1">
      <alignment horizontal="left" readingOrder="0"/>
    </xf>
    <xf borderId="10" fillId="4" fontId="1" numFmtId="10" xfId="0" applyAlignment="1" applyBorder="1" applyFill="1" applyFont="1" applyNumberFormat="1">
      <alignment horizontal="center" readingOrder="0"/>
    </xf>
    <xf borderId="0" fillId="0" fontId="1" numFmtId="166" xfId="0" applyFont="1" applyNumberFormat="1"/>
    <xf borderId="0" fillId="0" fontId="9" numFmtId="0" xfId="0" applyAlignment="1" applyFont="1">
      <alignment horizontal="left"/>
    </xf>
    <xf borderId="0" fillId="0" fontId="10" numFmtId="0" xfId="0" applyFont="1"/>
    <xf borderId="8" fillId="5" fontId="3" numFmtId="0" xfId="0" applyAlignment="1" applyBorder="1" applyFill="1" applyFont="1">
      <alignment horizontal="left"/>
    </xf>
    <xf borderId="0" fillId="0" fontId="1" numFmtId="0" xfId="0" applyAlignment="1" applyFont="1">
      <alignment horizontal="center" readingOrder="0"/>
    </xf>
    <xf borderId="0" fillId="5" fontId="11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2" fillId="5" fontId="1" numFmtId="0" xfId="0" applyBorder="1" applyFill="1" applyFont="1"/>
    <xf borderId="11" fillId="0" fontId="1" numFmtId="0" xfId="0" applyAlignment="1" applyBorder="1" applyFont="1">
      <alignment horizontal="center"/>
    </xf>
    <xf borderId="0" fillId="0" fontId="1" numFmtId="164" xfId="0" applyAlignment="1" applyFont="1" applyNumberFormat="1">
      <alignment horizontal="center"/>
    </xf>
    <xf borderId="12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14" fillId="0" fontId="1" numFmtId="0" xfId="0" applyAlignment="1" applyBorder="1" applyFont="1">
      <alignment horizontal="center"/>
    </xf>
    <xf borderId="0" fillId="0" fontId="3" numFmtId="0" xfId="0" applyAlignment="1" applyFont="1">
      <alignment horizontal="left" readingOrder="0" vertical="center"/>
    </xf>
    <xf borderId="15" fillId="0" fontId="1" numFmtId="0" xfId="0" applyAlignment="1" applyBorder="1" applyFont="1">
      <alignment horizont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6" fillId="0" fontId="1" numFmtId="0" xfId="0" applyAlignment="1" applyBorder="1" applyFont="1">
      <alignment horizontal="center"/>
    </xf>
    <xf borderId="0" fillId="0" fontId="3" numFmtId="0" xfId="0" applyAlignment="1" applyFont="1">
      <alignment horizontal="center" readingOrder="0" shrinkToFit="0" vertical="center" wrapText="1"/>
    </xf>
    <xf borderId="17" fillId="0" fontId="1" numFmtId="0" xfId="0" applyAlignment="1" applyBorder="1" applyFont="1">
      <alignment horizontal="center"/>
    </xf>
    <xf borderId="0" fillId="4" fontId="3" numFmtId="0" xfId="0" applyAlignment="1" applyFill="1" applyFont="1">
      <alignment horizontal="center" vertical="center"/>
    </xf>
    <xf borderId="5" fillId="0" fontId="1" numFmtId="0" xfId="0" applyAlignment="1" applyBorder="1" applyFont="1">
      <alignment horizontal="center"/>
    </xf>
    <xf borderId="18" fillId="0" fontId="1" numFmtId="0" xfId="0" applyAlignment="1" applyBorder="1" applyFont="1">
      <alignment horizontal="center"/>
    </xf>
    <xf borderId="19" fillId="0" fontId="1" numFmtId="0" xfId="0" applyAlignment="1" applyBorder="1" applyFont="1">
      <alignment horizontal="center"/>
    </xf>
    <xf borderId="20" fillId="0" fontId="1" numFmtId="0" xfId="0" applyAlignment="1" applyBorder="1" applyFont="1">
      <alignment horizontal="center"/>
    </xf>
    <xf borderId="0" fillId="6" fontId="3" numFmtId="0" xfId="0" applyAlignment="1" applyFill="1" applyFont="1">
      <alignment horizontal="left"/>
    </xf>
    <xf borderId="0" fillId="6" fontId="3" numFmtId="0" xfId="0" applyAlignment="1" applyFill="1" applyFont="1">
      <alignment horizontal="center"/>
    </xf>
    <xf borderId="21" fillId="6" fontId="3" numFmtId="0" xfId="0" applyAlignment="1" applyBorder="1" applyFill="1" applyFont="1">
      <alignment horizontal="center"/>
    </xf>
    <xf borderId="22" fillId="6" fontId="3" numFmtId="0" xfId="0" applyAlignment="1" applyBorder="1" applyFill="1" applyFont="1">
      <alignment horizontal="center"/>
    </xf>
    <xf borderId="0" fillId="7" fontId="12" numFmtId="0" xfId="0" applyAlignment="1" applyFill="1" applyFont="1">
      <alignment horizontal="left" readingOrder="0"/>
    </xf>
    <xf borderId="13" fillId="6" fontId="3" numFmtId="0" xfId="0" applyAlignment="1" applyBorder="1" applyFill="1" applyFont="1">
      <alignment horizontal="center"/>
    </xf>
    <xf borderId="0" fillId="7" fontId="3" numFmtId="9" xfId="0" applyAlignment="1" applyFill="1" applyFont="1" applyNumberFormat="1">
      <alignment horizontal="center" readingOrder="0"/>
    </xf>
    <xf borderId="0" fillId="7" fontId="1" numFmtId="0" xfId="0" applyAlignment="1" applyFill="1" applyFont="1">
      <alignment horizontal="center" readingOrder="0"/>
    </xf>
    <xf borderId="23" fillId="0" fontId="1" numFmtId="0" xfId="0" applyAlignment="1" applyBorder="1" applyFont="1">
      <alignment horizontal="center" readingOrder="0"/>
    </xf>
    <xf borderId="24" fillId="0" fontId="1" numFmtId="0" xfId="0" applyAlignment="1" applyBorder="1" applyFont="1">
      <alignment horizontal="center" readingOrder="0"/>
    </xf>
    <xf borderId="25" fillId="0" fontId="1" numFmtId="0" xfId="0" applyAlignment="1" applyBorder="1" applyFont="1">
      <alignment horizontal="center" readingOrder="0"/>
    </xf>
    <xf borderId="0" fillId="4" fontId="3" numFmtId="0" xfId="0" applyAlignment="1" applyFill="1" applyFont="1">
      <alignment horizontal="left"/>
    </xf>
    <xf borderId="0" fillId="7" fontId="3" numFmtId="10" xfId="0" applyAlignment="1" applyFill="1" applyFont="1" applyNumberFormat="1">
      <alignment horizontal="center" readingOrder="0"/>
    </xf>
    <xf borderId="0" fillId="4" fontId="3" numFmtId="0" xfId="0" applyAlignment="1" applyFill="1" applyFont="1">
      <alignment horizontal="center"/>
    </xf>
    <xf borderId="0" fillId="7" fontId="1" numFmtId="0" xfId="0" applyAlignment="1" applyFill="1" applyFont="1">
      <alignment horizontal="center"/>
    </xf>
    <xf borderId="0" fillId="6" fontId="3" numFmtId="0" xfId="0" applyAlignment="1" applyFill="1" applyFont="1">
      <alignment horizontal="left" readingOrder="0"/>
    </xf>
    <xf borderId="23" fillId="0" fontId="1" numFmtId="0" xfId="0" applyAlignment="1" applyBorder="1" applyFont="1">
      <alignment horizontal="center"/>
    </xf>
    <xf borderId="24" fillId="0" fontId="1" numFmtId="0" xfId="0" applyAlignment="1" applyBorder="1" applyFont="1">
      <alignment horizontal="center"/>
    </xf>
    <xf borderId="25" fillId="0" fontId="1" numFmtId="0" xfId="0" applyAlignment="1" applyBorder="1" applyFont="1">
      <alignment horizontal="center"/>
    </xf>
    <xf borderId="0" fillId="8" fontId="3" numFmtId="0" xfId="0" applyAlignment="1" applyFill="1" applyFont="1">
      <alignment readingOrder="0"/>
    </xf>
    <xf borderId="0" fillId="8" fontId="1" numFmtId="0" xfId="0" applyAlignment="1" applyFill="1" applyFont="1">
      <alignment horizontal="center"/>
    </xf>
    <xf borderId="26" fillId="8" fontId="1" numFmtId="0" xfId="0" applyBorder="1" applyFill="1" applyFont="1"/>
    <xf borderId="27" fillId="8" fontId="1" numFmtId="0" xfId="0" applyBorder="1" applyFill="1" applyFont="1"/>
    <xf borderId="28" fillId="8" fontId="1" numFmtId="0" xfId="0" applyBorder="1" applyFill="1" applyFont="1"/>
    <xf borderId="0" fillId="0" fontId="1" numFmtId="0" xfId="0" applyFont="1"/>
    <xf borderId="0" fillId="0" fontId="1" numFmtId="0" xfId="0" applyAlignment="1" applyFont="1">
      <alignment horizontal="center"/>
    </xf>
    <xf borderId="29" fillId="0" fontId="1" numFmtId="0" xfId="0" applyBorder="1" applyFont="1"/>
    <xf borderId="3" fillId="0" fontId="1" numFmtId="0" xfId="0" applyBorder="1" applyFont="1"/>
    <xf borderId="30" fillId="0" fontId="1" numFmtId="0" xfId="0" applyBorder="1" applyFont="1"/>
    <xf borderId="0" fillId="0" fontId="13" numFmtId="0" xfId="0" applyFont="1"/>
    <xf borderId="13" fillId="0" fontId="1" numFmtId="0" xfId="0" applyBorder="1" applyFont="1"/>
    <xf borderId="0" fillId="4" fontId="1" numFmtId="0" xfId="0" applyAlignment="1" applyFill="1" applyFont="1">
      <alignment horizontal="center"/>
    </xf>
    <xf borderId="14" fillId="0" fontId="1" numFmtId="0" xfId="0" applyBorder="1" applyFont="1"/>
    <xf borderId="0" fillId="0" fontId="14" numFmtId="0" xfId="0" applyFont="1"/>
    <xf borderId="4" fillId="0" fontId="1" numFmtId="0" xfId="0" applyBorder="1" applyFont="1"/>
    <xf borderId="31" fillId="0" fontId="1" numFmtId="0" xfId="0" applyBorder="1" applyFont="1"/>
    <xf borderId="16" fillId="0" fontId="1" numFmtId="0" xfId="0" applyBorder="1" applyFont="1"/>
    <xf borderId="0" fillId="2" fontId="15" numFmtId="0" xfId="0" applyAlignment="1" applyFill="1" applyFont="1">
      <alignment readingOrder="0"/>
    </xf>
    <xf borderId="17" fillId="0" fontId="1" numFmtId="0" xfId="0" applyBorder="1" applyFont="1"/>
    <xf borderId="0" fillId="2" fontId="15" numFmtId="4" xfId="0" applyAlignment="1" applyFill="1" applyFont="1" applyNumberFormat="1">
      <alignment horizontal="center" readingOrder="0"/>
    </xf>
    <xf borderId="5" fillId="0" fontId="1" numFmtId="0" xfId="0" applyBorder="1" applyFont="1"/>
    <xf borderId="0" fillId="2" fontId="15" numFmtId="0" xfId="0" applyAlignment="1" applyFill="1" applyFont="1">
      <alignment horizontal="center" readingOrder="0"/>
    </xf>
    <xf borderId="32" fillId="0" fontId="1" numFmtId="0" xfId="0" applyAlignment="1" applyBorder="1" applyFont="1">
      <alignment readingOrder="0"/>
    </xf>
    <xf borderId="0" fillId="2" fontId="15" numFmtId="167" xfId="0" applyAlignment="1" applyFill="1" applyFont="1" applyNumberFormat="1">
      <alignment horizontal="center"/>
    </xf>
    <xf borderId="25" fillId="0" fontId="1" numFmtId="0" xfId="0" applyBorder="1" applyFont="1"/>
    <xf borderId="0" fillId="8" fontId="3" numFmtId="0" xfId="0" applyAlignment="1" applyFill="1" applyFont="1">
      <alignment horizontal="center"/>
    </xf>
    <xf borderId="0" fillId="8" fontId="3" numFmtId="0" xfId="0" applyFill="1" applyFont="1"/>
    <xf borderId="12" fillId="0" fontId="1" numFmtId="0" xfId="0" applyBorder="1" applyFont="1"/>
    <xf borderId="0" fillId="2" fontId="1" numFmtId="0" xfId="0" applyAlignment="1" applyFill="1" applyFont="1">
      <alignment horizontal="center"/>
    </xf>
    <xf borderId="18" fillId="0" fontId="1" numFmtId="0" xfId="0" applyBorder="1" applyFont="1"/>
    <xf borderId="0" fillId="8" fontId="1" numFmtId="0" xfId="0" applyFill="1" applyFont="1"/>
    <xf borderId="15" fillId="0" fontId="1" numFmtId="0" xfId="0" applyBorder="1" applyFont="1"/>
    <xf borderId="0" fillId="2" fontId="1" numFmtId="167" xfId="0" applyAlignment="1" applyFill="1" applyFont="1" applyNumberFormat="1">
      <alignment horizontal="center"/>
    </xf>
    <xf borderId="0" fillId="2" fontId="15" numFmtId="0" xfId="0" applyAlignment="1" applyFill="1" applyFont="1">
      <alignment horizontal="left" readingOrder="0"/>
    </xf>
    <xf borderId="0" fillId="2" fontId="16" numFmtId="167" xfId="0" applyAlignment="1" applyFill="1" applyFont="1" applyNumberFormat="1">
      <alignment horizontal="center"/>
    </xf>
    <xf borderId="0" fillId="0" fontId="15" numFmtId="0" xfId="0" applyAlignment="1" applyFont="1">
      <alignment horizontal="left" readingOrder="0"/>
    </xf>
    <xf borderId="0" fillId="0" fontId="1" numFmtId="167" xfId="0" applyAlignment="1" applyFont="1" applyNumberFormat="1">
      <alignment horizontal="center"/>
    </xf>
    <xf borderId="0" fillId="4" fontId="1" numFmtId="0" xfId="0" applyFill="1" applyFont="1"/>
    <xf borderId="0" fillId="0" fontId="4" numFmtId="4" xfId="0" applyAlignment="1" applyFont="1" applyNumberFormat="1">
      <alignment horizontal="center"/>
    </xf>
    <xf borderId="0" fillId="9" fontId="12" numFmtId="166" xfId="0" applyAlignment="1" applyFill="1" applyFont="1" applyNumberFormat="1">
      <alignment horizontal="left" readingOrder="0"/>
    </xf>
    <xf borderId="0" fillId="9" fontId="4" numFmtId="10" xfId="0" applyAlignment="1" applyFill="1" applyFont="1" applyNumberFormat="1">
      <alignment horizontal="center" readingOrder="0"/>
    </xf>
    <xf borderId="0" fillId="9" fontId="1" numFmtId="167" xfId="0" applyAlignment="1" applyFill="1" applyFont="1" applyNumberFormat="1">
      <alignment horizontal="center" readingOrder="0"/>
    </xf>
    <xf borderId="0" fillId="9" fontId="1" numFmtId="167" xfId="0" applyAlignment="1" applyFill="1" applyFont="1" applyNumberFormat="1">
      <alignment horizontal="center"/>
    </xf>
    <xf borderId="0" fillId="9" fontId="17" numFmtId="0" xfId="0" applyAlignment="1" applyFill="1" applyFont="1">
      <alignment horizontal="left"/>
    </xf>
    <xf borderId="0" fillId="9" fontId="4" numFmtId="10" xfId="0" applyAlignment="1" applyFill="1" applyFont="1" applyNumberFormat="1">
      <alignment horizontal="center"/>
    </xf>
    <xf borderId="0" fillId="9" fontId="1" numFmtId="0" xfId="0" applyFill="1" applyFont="1"/>
    <xf borderId="0" fillId="9" fontId="1" numFmtId="0" xfId="0" applyAlignment="1" applyFill="1" applyFont="1">
      <alignment horizontal="center"/>
    </xf>
    <xf borderId="0" fillId="0" fontId="12" numFmtId="0" xfId="0" applyAlignment="1" applyFont="1">
      <alignment readingOrder="0"/>
    </xf>
    <xf borderId="0" fillId="0" fontId="1" numFmtId="10" xfId="0" applyAlignment="1" applyFont="1" applyNumberFormat="1">
      <alignment horizontal="center"/>
    </xf>
    <xf borderId="0" fillId="2" fontId="18" numFmtId="0" xfId="0" applyFill="1" applyFont="1"/>
    <xf borderId="0" fillId="4" fontId="1" numFmtId="0" xfId="0" applyFill="1" applyFont="1"/>
    <xf borderId="0" fillId="0" fontId="12" numFmtId="0" xfId="0" applyFont="1"/>
    <xf borderId="0" fillId="2" fontId="15" numFmtId="2" xfId="0" applyAlignment="1" applyFill="1" applyFont="1" applyNumberFormat="1">
      <alignment horizontal="center"/>
    </xf>
    <xf borderId="0" fillId="9" fontId="19" numFmtId="4" xfId="0" applyAlignment="1" applyFill="1" applyFont="1" applyNumberFormat="1">
      <alignment horizontal="center" readingOrder="0"/>
    </xf>
    <xf borderId="0" fillId="9" fontId="4" numFmtId="4" xfId="0" applyAlignment="1" applyFill="1" applyFont="1" applyNumberFormat="1">
      <alignment horizontal="center"/>
    </xf>
    <xf borderId="0" fillId="0" fontId="1" numFmtId="4" xfId="0" applyAlignment="1" applyFont="1" applyNumberFormat="1">
      <alignment horizontal="center"/>
    </xf>
    <xf borderId="0" fillId="2" fontId="20" numFmtId="0" xfId="0" applyFill="1" applyFont="1"/>
    <xf borderId="0" fillId="7" fontId="1" numFmtId="0" xfId="0" applyAlignment="1" applyFill="1" applyFont="1">
      <alignment horizontal="center" readingOrder="0" vertical="center"/>
    </xf>
    <xf borderId="0" fillId="2" fontId="15" numFmtId="0" xfId="0" applyAlignment="1" applyFill="1" applyFont="1">
      <alignment horizontal="left"/>
    </xf>
    <xf borderId="0" fillId="2" fontId="15" numFmtId="4" xfId="0" applyAlignment="1" applyFill="1" applyFont="1" applyNumberFormat="1">
      <alignment horizontal="center"/>
    </xf>
    <xf borderId="0" fillId="0" fontId="8" numFmtId="0" xfId="0" applyAlignment="1" applyFont="1">
      <alignment readingOrder="0"/>
    </xf>
    <xf borderId="0" fillId="0" fontId="21" numFmtId="0" xfId="0" applyAlignment="1" applyFont="1">
      <alignment vertical="bottom"/>
    </xf>
    <xf borderId="0" fillId="0" fontId="21" numFmtId="0" xfId="0" applyAlignment="1" applyFont="1">
      <alignment readingOrder="0" vertical="bottom"/>
    </xf>
    <xf borderId="0" fillId="0" fontId="22" numFmtId="0" xfId="0" applyAlignment="1" applyFont="1">
      <alignment horizontal="center" readingOrder="0" shrinkToFit="0" wrapText="1"/>
    </xf>
    <xf borderId="0" fillId="0" fontId="23" numFmtId="0" xfId="0" applyAlignment="1" applyFont="1">
      <alignment horizontal="left" readingOrder="0" shrinkToFit="0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855318"/>
          <bgColor rgb="FF855318"/>
        </patternFill>
      </fill>
      <border/>
    </dxf>
    <dxf>
      <font/>
      <fill>
        <patternFill patternType="solid">
          <fgColor rgb="FFFFF8F5"/>
          <bgColor rgb="FFFFF8F5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3" pivot="0" name="Fotos-style">
      <tableStyleElement dxfId="1" type="headerRow"/>
      <tableStyleElement dxfId="2" type="firstRowStripe"/>
      <tableStyleElement dxfId="4" type="secondRowStripe"/>
    </tableStyle>
    <tableStyle count="4" pivot="0" name="Análisis Reológico-style">
      <tableStyleElement dxfId="3" type="headerRow"/>
      <tableStyleElement dxfId="4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5</xdr:row>
      <xdr:rowOff>0</xdr:rowOff>
    </xdr:from>
    <xdr:ext cx="533400" cy="95250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1914525" cy="85725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5:I100" displayName="Table_1" name="Table_1" id="1">
  <tableColumns count="8">
    <tableColumn name="Nº de Ensayo" id="1"/>
    <tableColumn name="Fecha" id="2"/>
    <tableColumn name="Producto" id="3"/>
    <tableColumn name="Formulación" id="4"/>
    <tableColumn name="Foto: Amasado" id="5"/>
    <tableColumn name="Foto: Crudo" id="6"/>
    <tableColumn name="Foto: Horneado" id="7"/>
    <tableColumn name="Observaciones" id="8"/>
  </tableColumns>
  <tableStyleInfo name="Fotos-style" showColumnStripes="0" showFirstColumn="1" showLastColumn="1" showRowStripes="1"/>
</table>
</file>

<file path=xl/tables/table2.xml><?xml version="1.0" encoding="utf-8"?>
<table xmlns="http://schemas.openxmlformats.org/spreadsheetml/2006/main" ref="A1:B12" displayName="Harina" name="Harina" id="2">
  <tableColumns count="2">
    <tableColumn name="Propiedad" id="1"/>
    <tableColumn name="Unidad" id="2"/>
  </tableColumns>
  <tableStyleInfo name="Análisis Reológic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1.29"/>
    <col customWidth="1" min="3" max="7" width="14.43"/>
    <col customWidth="1" min="8" max="8" width="10.71"/>
  </cols>
  <sheetData>
    <row r="1" ht="18.75" customHeight="1">
      <c r="A1" s="1"/>
      <c r="B1" s="2"/>
      <c r="C1" s="1"/>
      <c r="D1" s="1"/>
      <c r="E1" s="1"/>
      <c r="F1" s="1"/>
      <c r="G1" s="1"/>
      <c r="H1" s="2"/>
    </row>
    <row r="2" ht="18.75" customHeight="1">
      <c r="A2" s="3"/>
      <c r="B2" s="4" t="s">
        <v>0</v>
      </c>
      <c r="C2" s="5">
        <v>1.0</v>
      </c>
      <c r="D2" s="5">
        <v>2.0</v>
      </c>
      <c r="E2" s="5">
        <v>3.0</v>
      </c>
      <c r="F2" s="5">
        <v>4.0</v>
      </c>
      <c r="G2" s="5">
        <v>5.0</v>
      </c>
      <c r="H2" s="1"/>
    </row>
    <row r="3" ht="18.75" customHeight="1">
      <c r="A3" s="6" t="s">
        <v>1</v>
      </c>
      <c r="B3" s="7" t="s">
        <v>2</v>
      </c>
      <c r="C3" s="8"/>
      <c r="D3" s="8"/>
      <c r="E3" s="8"/>
      <c r="F3" s="8"/>
      <c r="G3" s="8"/>
      <c r="H3" s="9"/>
    </row>
    <row r="4" ht="18.75" customHeight="1">
      <c r="A4" s="6"/>
      <c r="B4" s="10" t="s">
        <v>3</v>
      </c>
      <c r="C4" s="11"/>
      <c r="D4" s="11"/>
      <c r="E4" s="11"/>
      <c r="F4" s="11"/>
      <c r="G4" s="11"/>
      <c r="H4" s="12"/>
    </row>
    <row r="5" ht="18.75" customHeight="1">
      <c r="A5" s="14"/>
      <c r="B5" s="15" t="s">
        <v>6</v>
      </c>
      <c r="C5" s="16"/>
      <c r="D5" s="16"/>
      <c r="E5" s="16"/>
      <c r="F5" s="16"/>
      <c r="G5" s="16"/>
      <c r="H5" s="1"/>
    </row>
    <row r="6" ht="18.75" customHeight="1">
      <c r="A6" s="19" t="s">
        <v>8</v>
      </c>
      <c r="B6" s="20"/>
      <c r="C6" s="5"/>
      <c r="D6" s="5"/>
      <c r="E6" s="5"/>
      <c r="F6" s="5"/>
      <c r="G6" s="5"/>
      <c r="H6" s="21"/>
    </row>
    <row r="7" ht="18.75" customHeight="1">
      <c r="A7" s="22" t="s">
        <v>17</v>
      </c>
      <c r="B7" s="23"/>
      <c r="C7" s="27">
        <f>'1-Actual'!B5</f>
        <v>1</v>
      </c>
      <c r="D7" s="27">
        <f>'2-Actual Proceso'!B5</f>
        <v>1</v>
      </c>
      <c r="E7" s="27">
        <f>'3-Actual Proceso y ajuste F'!B5</f>
        <v>1</v>
      </c>
      <c r="F7" s="27">
        <f>'4-Formulacion Productos existen'!B5</f>
        <v>1</v>
      </c>
      <c r="G7" s="27">
        <f>'5-Formulacion 3'!B5</f>
        <v>1</v>
      </c>
      <c r="H7" s="28"/>
    </row>
    <row r="8" ht="18.75" customHeight="1">
      <c r="A8" s="22" t="s">
        <v>26</v>
      </c>
      <c r="B8" s="23"/>
      <c r="C8" s="27">
        <f>'1-Actual'!B6</f>
        <v>0.018</v>
      </c>
      <c r="D8" s="27">
        <f>'2-Actual Proceso'!B6</f>
        <v>0.018</v>
      </c>
      <c r="E8" s="27">
        <f>'3-Actual Proceso y ajuste F'!B6</f>
        <v>0.018</v>
      </c>
      <c r="F8" s="27">
        <f>'4-Formulacion Productos existen'!B6</f>
        <v>0.018</v>
      </c>
      <c r="G8" s="27">
        <f>'5-Formulacion 3'!B6</f>
        <v>0.02</v>
      </c>
      <c r="H8" s="28"/>
    </row>
    <row r="9" ht="18.75" customHeight="1">
      <c r="A9" s="29" t="s">
        <v>33</v>
      </c>
      <c r="B9" s="23"/>
      <c r="C9" s="27">
        <f>'1-Actual'!B7</f>
        <v>0.025</v>
      </c>
      <c r="D9" s="27">
        <f>'2-Actual Proceso'!B7</f>
        <v>0.025</v>
      </c>
      <c r="E9" s="27">
        <f>'3-Actual Proceso y ajuste F'!B7</f>
        <v>0.025</v>
      </c>
      <c r="F9" s="27">
        <f>'4-Formulacion Productos existen'!B7</f>
        <v>0.025</v>
      </c>
      <c r="G9" s="27">
        <f>'5-Formulacion 3'!B7</f>
        <v>0.025</v>
      </c>
      <c r="H9" s="28"/>
    </row>
    <row r="10" ht="18.75" customHeight="1">
      <c r="A10" s="29" t="s">
        <v>34</v>
      </c>
      <c r="B10" s="23"/>
      <c r="C10" s="30">
        <f>'1-Actual'!B8</f>
        <v>0.51</v>
      </c>
      <c r="D10" s="30">
        <f>'2-Actual Proceso'!B8</f>
        <v>0.51</v>
      </c>
      <c r="E10" s="30">
        <f>'3-Actual Proceso y ajuste F'!B8</f>
        <v>0.54</v>
      </c>
      <c r="F10" s="30">
        <f>'4-Formulacion Productos existen'!B8</f>
        <v>0.54</v>
      </c>
      <c r="G10" s="30">
        <f>'5-Formulacion 3'!B8</f>
        <v>0.54</v>
      </c>
      <c r="H10" s="28"/>
    </row>
    <row r="11" ht="18.75" customHeight="1">
      <c r="A11" s="29"/>
      <c r="B11" s="23"/>
      <c r="C11" s="28"/>
      <c r="D11" s="28"/>
      <c r="E11" s="28"/>
      <c r="F11" s="28"/>
      <c r="G11" s="31"/>
      <c r="H11" s="1"/>
    </row>
    <row r="12" ht="18.75" customHeight="1">
      <c r="A12" s="32"/>
      <c r="C12" s="1"/>
      <c r="D12" s="2"/>
      <c r="E12" s="2"/>
      <c r="F12" s="2"/>
      <c r="G12" s="2"/>
      <c r="H12" s="1"/>
    </row>
    <row r="13" ht="18.75" customHeight="1">
      <c r="A13" s="34" t="s">
        <v>35</v>
      </c>
      <c r="B13" s="36"/>
      <c r="C13" s="38"/>
      <c r="D13" s="38"/>
      <c r="E13" s="38"/>
      <c r="F13" s="38"/>
      <c r="G13" s="38"/>
      <c r="H13" s="1"/>
    </row>
    <row r="14" ht="18.75" customHeight="1">
      <c r="A14" s="29" t="s">
        <v>37</v>
      </c>
      <c r="B14" s="35"/>
      <c r="C14" s="39"/>
      <c r="D14" s="8"/>
      <c r="E14" s="41"/>
      <c r="F14" s="41"/>
      <c r="G14" s="42"/>
      <c r="H14" s="1"/>
    </row>
    <row r="15" ht="18.75" customHeight="1">
      <c r="A15" s="29" t="s">
        <v>38</v>
      </c>
      <c r="B15" s="35"/>
      <c r="C15" s="43"/>
      <c r="D15" s="11"/>
      <c r="E15" s="45"/>
      <c r="F15" s="45"/>
      <c r="G15" s="48"/>
      <c r="H15" s="1"/>
    </row>
    <row r="16" ht="18.75" customHeight="1">
      <c r="A16" s="29" t="s">
        <v>40</v>
      </c>
      <c r="B16" s="2"/>
      <c r="C16" s="50"/>
      <c r="D16" s="52"/>
      <c r="E16" s="53"/>
      <c r="F16" s="54"/>
      <c r="G16" s="55"/>
      <c r="H16" s="1"/>
    </row>
    <row r="17" ht="18.75" customHeight="1">
      <c r="A17" s="56" t="s">
        <v>42</v>
      </c>
      <c r="B17" s="57"/>
      <c r="C17" s="58"/>
      <c r="D17" s="59"/>
      <c r="E17" s="59"/>
      <c r="F17" s="59"/>
      <c r="G17" s="61"/>
      <c r="H17" s="1"/>
    </row>
    <row r="18" ht="18.75" customHeight="1">
      <c r="A18" s="29" t="s">
        <v>44</v>
      </c>
      <c r="B18" s="2"/>
      <c r="C18" s="64"/>
      <c r="D18" s="65"/>
      <c r="E18" s="65"/>
      <c r="F18" s="65"/>
      <c r="G18" s="66"/>
      <c r="H18" s="1"/>
    </row>
    <row r="19" ht="18.75" customHeight="1">
      <c r="A19" s="67"/>
      <c r="B19" s="67"/>
      <c r="C19" s="69"/>
      <c r="D19" s="69"/>
      <c r="E19" s="69"/>
      <c r="F19" s="69"/>
      <c r="G19" s="69"/>
      <c r="H19" s="1"/>
    </row>
    <row r="20" ht="18.75" customHeight="1">
      <c r="A20" s="71" t="s">
        <v>46</v>
      </c>
      <c r="B20" s="57"/>
      <c r="C20" s="58"/>
      <c r="D20" s="59"/>
      <c r="E20" s="59"/>
      <c r="F20" s="59"/>
      <c r="G20" s="61"/>
      <c r="H20" s="1"/>
    </row>
    <row r="21" ht="18.75" customHeight="1">
      <c r="A21" s="22" t="s">
        <v>47</v>
      </c>
      <c r="B21" s="2"/>
      <c r="C21" s="72"/>
      <c r="D21" s="73"/>
      <c r="E21" s="73"/>
      <c r="F21" s="73"/>
      <c r="G21" s="74"/>
      <c r="H21" s="1"/>
    </row>
    <row r="22" ht="18.75" customHeight="1">
      <c r="A22" s="75" t="s">
        <v>48</v>
      </c>
      <c r="B22" s="76"/>
      <c r="C22" s="77"/>
      <c r="D22" s="78"/>
      <c r="E22" s="78"/>
      <c r="F22" s="78"/>
      <c r="G22" s="79"/>
      <c r="H22" s="80"/>
    </row>
    <row r="23" ht="18.75" customHeight="1">
      <c r="A23" s="37" t="s">
        <v>50</v>
      </c>
      <c r="B23" s="81"/>
      <c r="C23" s="82"/>
      <c r="D23" s="83"/>
      <c r="E23" s="84"/>
      <c r="F23" s="83"/>
      <c r="G23" s="86"/>
      <c r="H23" s="80"/>
    </row>
    <row r="24" ht="18.75" customHeight="1">
      <c r="A24" s="37" t="s">
        <v>51</v>
      </c>
      <c r="B24" s="81"/>
      <c r="C24" s="88"/>
      <c r="D24" s="90"/>
      <c r="E24" s="91"/>
      <c r="F24" s="90"/>
      <c r="G24" s="92"/>
      <c r="H24" s="80"/>
    </row>
    <row r="25" ht="18.75" customHeight="1">
      <c r="A25" s="37" t="s">
        <v>55</v>
      </c>
      <c r="B25" s="81"/>
      <c r="C25" s="94"/>
      <c r="D25" s="96"/>
      <c r="E25" s="98"/>
      <c r="F25" s="96"/>
      <c r="G25" s="100"/>
      <c r="H25" s="80"/>
    </row>
    <row r="26" ht="18.75" customHeight="1">
      <c r="A26" s="75" t="s">
        <v>56</v>
      </c>
      <c r="B26" s="101"/>
      <c r="C26" s="102"/>
      <c r="D26" s="102"/>
      <c r="E26" s="102"/>
      <c r="F26" s="102"/>
      <c r="G26" s="102"/>
      <c r="H26" s="80"/>
    </row>
    <row r="27" ht="18.75" customHeight="1">
      <c r="A27" s="37" t="s">
        <v>57</v>
      </c>
      <c r="B27" s="81"/>
      <c r="C27" s="82"/>
      <c r="D27" s="83"/>
      <c r="E27" s="103"/>
      <c r="F27" s="103"/>
      <c r="G27" s="86"/>
      <c r="H27" s="80"/>
    </row>
    <row r="28" ht="18.75" customHeight="1">
      <c r="A28" s="37" t="s">
        <v>58</v>
      </c>
      <c r="B28" s="81"/>
      <c r="C28" s="94"/>
      <c r="D28" s="96"/>
      <c r="E28" s="105"/>
      <c r="F28" s="105"/>
      <c r="G28" s="100"/>
      <c r="H28" s="80"/>
    </row>
    <row r="29" ht="18.75" customHeight="1">
      <c r="A29" s="80"/>
      <c r="B29" s="81"/>
      <c r="C29" s="80"/>
      <c r="D29" s="80"/>
      <c r="E29" s="80"/>
      <c r="F29" s="80"/>
      <c r="G29" s="80"/>
      <c r="H29" s="80"/>
    </row>
    <row r="30" ht="18.75" customHeight="1">
      <c r="A30" s="75" t="s">
        <v>60</v>
      </c>
      <c r="B30" s="76"/>
      <c r="C30" s="106"/>
      <c r="D30" s="106"/>
      <c r="E30" s="106"/>
      <c r="F30" s="106"/>
      <c r="G30" s="106"/>
      <c r="H30" s="80"/>
    </row>
    <row r="31" ht="18.75" customHeight="1">
      <c r="A31" s="37"/>
      <c r="B31" s="81"/>
      <c r="C31" s="82"/>
      <c r="D31" s="83"/>
      <c r="E31" s="83"/>
      <c r="F31" s="103"/>
      <c r="G31" s="86"/>
      <c r="H31" s="80"/>
    </row>
    <row r="32" ht="18.75" customHeight="1">
      <c r="A32" s="37"/>
      <c r="B32" s="81"/>
      <c r="C32" s="88"/>
      <c r="D32" s="90"/>
      <c r="E32" s="90"/>
      <c r="F32" s="107"/>
      <c r="G32" s="92"/>
      <c r="H32" s="80"/>
    </row>
    <row r="33" ht="18.75" customHeight="1">
      <c r="A33" s="37"/>
      <c r="B33" s="81"/>
      <c r="C33" s="88"/>
      <c r="D33" s="90"/>
      <c r="E33" s="90"/>
      <c r="F33" s="107"/>
      <c r="G33" s="92"/>
      <c r="H33" s="80"/>
    </row>
    <row r="34" ht="18.75" customHeight="1">
      <c r="A34" s="37"/>
      <c r="B34" s="81"/>
      <c r="C34" s="88"/>
      <c r="D34" s="90"/>
      <c r="E34" s="90"/>
      <c r="F34" s="107"/>
      <c r="G34" s="92"/>
      <c r="H34" s="80"/>
    </row>
    <row r="35" ht="18.75" customHeight="1">
      <c r="A35" s="37"/>
      <c r="B35" s="81"/>
      <c r="C35" s="94"/>
      <c r="D35" s="96"/>
      <c r="E35" s="96"/>
      <c r="F35" s="105"/>
      <c r="G35" s="100"/>
      <c r="H35" s="80"/>
    </row>
    <row r="36" ht="18.75" customHeight="1">
      <c r="A36" s="80"/>
      <c r="B36" s="81"/>
      <c r="C36" s="80"/>
      <c r="D36" s="80"/>
      <c r="E36" s="80"/>
      <c r="F36" s="80"/>
      <c r="G36" s="80"/>
      <c r="H36" s="80"/>
    </row>
    <row r="37">
      <c r="A37" s="80"/>
      <c r="B37" s="81"/>
      <c r="C37" s="80"/>
      <c r="D37" s="80"/>
      <c r="E37" s="80"/>
      <c r="F37" s="80"/>
      <c r="G37" s="80"/>
      <c r="H37" s="80"/>
    </row>
    <row r="38">
      <c r="A38" s="80"/>
      <c r="B38" s="81"/>
      <c r="C38" s="80"/>
      <c r="D38" s="80"/>
      <c r="E38" s="80"/>
      <c r="F38" s="80"/>
      <c r="G38" s="80"/>
      <c r="H38" s="80"/>
    </row>
    <row r="39">
      <c r="A39" s="80"/>
      <c r="B39" s="81"/>
      <c r="C39" s="80"/>
      <c r="D39" s="80"/>
      <c r="E39" s="80"/>
      <c r="F39" s="80"/>
      <c r="G39" s="80"/>
      <c r="H39" s="80"/>
    </row>
    <row r="40">
      <c r="A40" s="80"/>
      <c r="B40" s="81"/>
      <c r="C40" s="80"/>
      <c r="D40" s="80"/>
      <c r="E40" s="80"/>
      <c r="F40" s="80"/>
      <c r="G40" s="80"/>
      <c r="H40" s="80"/>
    </row>
    <row r="41">
      <c r="A41" s="80"/>
      <c r="B41" s="81"/>
      <c r="C41" s="80"/>
      <c r="D41" s="80"/>
      <c r="E41" s="80"/>
      <c r="F41" s="80"/>
      <c r="G41" s="80"/>
      <c r="H41" s="80"/>
    </row>
  </sheetData>
  <printOptions/>
  <pageMargins bottom="0.42" footer="0.0" header="0.0" left="0.15748031496062992" right="0.15748031496062992" top="0.44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.0"/>
    <col customWidth="1" min="2" max="3" width="14.43"/>
    <col customWidth="1" min="4" max="4" width="21.57"/>
    <col customWidth="1" min="5" max="9" width="28.71"/>
  </cols>
  <sheetData>
    <row r="2">
      <c r="B2" s="13" t="s">
        <v>4</v>
      </c>
    </row>
    <row r="5">
      <c r="B5" s="17" t="s">
        <v>7</v>
      </c>
      <c r="C5" s="17" t="s">
        <v>9</v>
      </c>
      <c r="D5" s="17" t="s">
        <v>10</v>
      </c>
      <c r="E5" s="17" t="s">
        <v>12</v>
      </c>
      <c r="F5" s="17" t="s">
        <v>13</v>
      </c>
      <c r="G5" s="17" t="s">
        <v>14</v>
      </c>
      <c r="H5" s="17" t="s">
        <v>15</v>
      </c>
      <c r="I5" s="17" t="s">
        <v>16</v>
      </c>
    </row>
    <row r="6" ht="75.0" customHeight="1">
      <c r="B6" s="25"/>
      <c r="C6" s="26"/>
      <c r="D6" s="25"/>
      <c r="E6" s="25"/>
      <c r="F6" s="25"/>
      <c r="G6" s="25"/>
      <c r="H6" s="25"/>
      <c r="I6" s="25"/>
    </row>
    <row r="7" ht="75.0" customHeight="1">
      <c r="B7" s="25"/>
      <c r="C7" s="26"/>
      <c r="D7" s="25"/>
      <c r="E7" s="25"/>
      <c r="F7" s="25"/>
      <c r="G7" s="25"/>
      <c r="H7" s="25"/>
      <c r="I7" s="25"/>
    </row>
    <row r="8" ht="75.0" customHeight="1">
      <c r="B8" s="25"/>
      <c r="C8" s="26"/>
      <c r="D8" s="25"/>
      <c r="E8" s="25"/>
      <c r="F8" s="25"/>
      <c r="G8" s="25"/>
      <c r="H8" s="25"/>
      <c r="I8" s="25"/>
    </row>
    <row r="9" ht="75.0" customHeight="1">
      <c r="B9" s="25"/>
      <c r="C9" s="26"/>
      <c r="D9" s="25"/>
      <c r="E9" s="25"/>
      <c r="F9" s="25"/>
      <c r="G9" s="25"/>
      <c r="H9" s="25"/>
      <c r="I9" s="25"/>
    </row>
    <row r="10" ht="75.0" customHeight="1">
      <c r="B10" s="25"/>
      <c r="C10" s="26"/>
      <c r="D10" s="25"/>
      <c r="E10" s="25"/>
      <c r="F10" s="25"/>
      <c r="G10" s="25"/>
      <c r="H10" s="25"/>
      <c r="I10" s="25"/>
    </row>
    <row r="11" ht="75.0" customHeight="1">
      <c r="B11" s="25"/>
      <c r="C11" s="26"/>
      <c r="D11" s="25"/>
      <c r="E11" s="25"/>
      <c r="F11" s="25"/>
      <c r="G11" s="25"/>
      <c r="H11" s="25"/>
      <c r="I11" s="25"/>
    </row>
    <row r="12" ht="75.0" customHeight="1">
      <c r="B12" s="25"/>
      <c r="C12" s="26"/>
      <c r="D12" s="25"/>
      <c r="E12" s="25"/>
      <c r="F12" s="25"/>
      <c r="G12" s="25"/>
      <c r="H12" s="25"/>
      <c r="I12" s="25"/>
    </row>
    <row r="13" ht="75.0" customHeight="1">
      <c r="B13" s="25"/>
      <c r="C13" s="26"/>
      <c r="D13" s="25"/>
      <c r="E13" s="25"/>
      <c r="F13" s="25"/>
      <c r="G13" s="25"/>
      <c r="H13" s="25"/>
      <c r="I13" s="25"/>
    </row>
    <row r="14" ht="75.0" customHeight="1">
      <c r="B14" s="25"/>
      <c r="C14" s="26"/>
      <c r="D14" s="25"/>
      <c r="E14" s="25"/>
      <c r="F14" s="25"/>
      <c r="G14" s="25"/>
      <c r="H14" s="25"/>
      <c r="I14" s="25"/>
    </row>
    <row r="15" ht="75.0" customHeight="1">
      <c r="B15" s="25"/>
      <c r="C15" s="26"/>
      <c r="D15" s="25"/>
      <c r="E15" s="25"/>
      <c r="F15" s="25"/>
      <c r="G15" s="25"/>
      <c r="H15" s="25"/>
      <c r="I15" s="25"/>
    </row>
    <row r="16" ht="75.0" customHeight="1">
      <c r="B16" s="25"/>
      <c r="C16" s="26"/>
      <c r="D16" s="25"/>
      <c r="E16" s="25"/>
      <c r="F16" s="25"/>
      <c r="G16" s="25"/>
      <c r="H16" s="25"/>
      <c r="I16" s="25"/>
    </row>
    <row r="17" ht="75.0" customHeight="1">
      <c r="B17" s="25"/>
      <c r="C17" s="26"/>
      <c r="D17" s="25"/>
      <c r="E17" s="25"/>
      <c r="F17" s="25"/>
      <c r="G17" s="25"/>
      <c r="H17" s="25"/>
      <c r="I17" s="25"/>
    </row>
    <row r="18" ht="75.0" customHeight="1">
      <c r="B18" s="25"/>
      <c r="C18" s="26"/>
      <c r="D18" s="25"/>
      <c r="E18" s="25"/>
      <c r="F18" s="25"/>
      <c r="G18" s="25"/>
      <c r="H18" s="25"/>
      <c r="I18" s="25"/>
    </row>
    <row r="19" ht="75.0" customHeight="1">
      <c r="B19" s="25"/>
      <c r="C19" s="26"/>
      <c r="D19" s="25"/>
      <c r="E19" s="25"/>
      <c r="F19" s="25"/>
      <c r="G19" s="25"/>
      <c r="H19" s="25"/>
      <c r="I19" s="25"/>
    </row>
    <row r="20" ht="75.0" customHeight="1">
      <c r="B20" s="25"/>
      <c r="C20" s="26"/>
      <c r="D20" s="25"/>
      <c r="E20" s="25"/>
      <c r="F20" s="25"/>
      <c r="G20" s="25"/>
      <c r="H20" s="25"/>
      <c r="I20" s="25"/>
    </row>
    <row r="21" ht="75.0" customHeight="1">
      <c r="B21" s="25"/>
      <c r="C21" s="26"/>
      <c r="D21" s="25"/>
      <c r="E21" s="25"/>
      <c r="F21" s="25"/>
      <c r="G21" s="25"/>
      <c r="H21" s="25"/>
      <c r="I21" s="25"/>
    </row>
    <row r="22" ht="75.0" customHeight="1">
      <c r="B22" s="25"/>
      <c r="C22" s="26"/>
      <c r="D22" s="25"/>
      <c r="E22" s="25"/>
      <c r="F22" s="25"/>
      <c r="G22" s="25"/>
      <c r="H22" s="25"/>
      <c r="I22" s="25"/>
    </row>
    <row r="23" ht="75.0" customHeight="1">
      <c r="B23" s="25"/>
      <c r="C23" s="26"/>
      <c r="D23" s="25"/>
      <c r="E23" s="25"/>
      <c r="F23" s="25"/>
      <c r="G23" s="25"/>
      <c r="H23" s="25"/>
      <c r="I23" s="25"/>
    </row>
    <row r="24" ht="75.0" customHeight="1">
      <c r="B24" s="25"/>
      <c r="C24" s="26"/>
      <c r="D24" s="25"/>
      <c r="E24" s="25"/>
      <c r="F24" s="25"/>
      <c r="G24" s="25"/>
      <c r="H24" s="25"/>
      <c r="I24" s="25"/>
    </row>
    <row r="25" ht="75.0" customHeight="1">
      <c r="B25" s="25"/>
      <c r="C25" s="26"/>
      <c r="D25" s="25"/>
      <c r="E25" s="25"/>
      <c r="F25" s="25"/>
      <c r="G25" s="25"/>
      <c r="H25" s="25"/>
      <c r="I25" s="25"/>
    </row>
    <row r="26" ht="75.0" customHeight="1">
      <c r="B26" s="25"/>
      <c r="C26" s="26"/>
      <c r="D26" s="25"/>
      <c r="E26" s="25"/>
      <c r="F26" s="25"/>
      <c r="G26" s="25"/>
      <c r="H26" s="25"/>
      <c r="I26" s="25"/>
    </row>
    <row r="27" ht="75.0" customHeight="1">
      <c r="B27" s="25"/>
      <c r="C27" s="26"/>
      <c r="D27" s="25"/>
      <c r="E27" s="25"/>
      <c r="F27" s="25"/>
      <c r="G27" s="25"/>
      <c r="H27" s="25"/>
      <c r="I27" s="25"/>
    </row>
    <row r="28" ht="75.0" customHeight="1">
      <c r="B28" s="25"/>
      <c r="C28" s="26"/>
      <c r="D28" s="25"/>
      <c r="E28" s="25"/>
      <c r="F28" s="25"/>
      <c r="G28" s="25"/>
      <c r="H28" s="25"/>
      <c r="I28" s="25"/>
    </row>
    <row r="29" ht="75.0" customHeight="1">
      <c r="B29" s="25"/>
      <c r="C29" s="26"/>
      <c r="D29" s="25"/>
      <c r="E29" s="25"/>
      <c r="F29" s="25"/>
      <c r="G29" s="25"/>
      <c r="H29" s="25"/>
      <c r="I29" s="25"/>
    </row>
    <row r="30" ht="75.0" customHeight="1">
      <c r="B30" s="25"/>
      <c r="C30" s="26"/>
      <c r="D30" s="25"/>
      <c r="E30" s="25"/>
      <c r="F30" s="25"/>
      <c r="G30" s="25"/>
      <c r="H30" s="25"/>
      <c r="I30" s="25"/>
    </row>
    <row r="31" ht="75.0" customHeight="1">
      <c r="B31" s="25"/>
      <c r="C31" s="26"/>
      <c r="D31" s="25"/>
      <c r="E31" s="25"/>
      <c r="F31" s="25"/>
      <c r="G31" s="25"/>
      <c r="H31" s="25"/>
      <c r="I31" s="25"/>
    </row>
    <row r="32" ht="75.0" customHeight="1">
      <c r="B32" s="25"/>
      <c r="C32" s="26"/>
      <c r="D32" s="25"/>
      <c r="E32" s="25"/>
      <c r="F32" s="25"/>
      <c r="G32" s="25"/>
      <c r="H32" s="25"/>
      <c r="I32" s="25"/>
    </row>
    <row r="33" ht="75.0" customHeight="1">
      <c r="B33" s="25"/>
      <c r="C33" s="26"/>
      <c r="D33" s="25"/>
      <c r="E33" s="25"/>
      <c r="F33" s="25"/>
      <c r="G33" s="25"/>
      <c r="H33" s="25"/>
      <c r="I33" s="25"/>
    </row>
    <row r="34" ht="75.0" customHeight="1">
      <c r="B34" s="25"/>
      <c r="C34" s="26"/>
      <c r="D34" s="25"/>
      <c r="E34" s="25"/>
      <c r="F34" s="25"/>
      <c r="G34" s="25"/>
      <c r="H34" s="25"/>
      <c r="I34" s="25"/>
    </row>
    <row r="35" ht="75.0" customHeight="1">
      <c r="B35" s="25"/>
      <c r="C35" s="26"/>
      <c r="D35" s="25"/>
      <c r="E35" s="25"/>
      <c r="F35" s="25"/>
      <c r="G35" s="25"/>
      <c r="H35" s="25"/>
      <c r="I35" s="25"/>
    </row>
    <row r="36" ht="75.0" customHeight="1">
      <c r="B36" s="25"/>
      <c r="C36" s="26"/>
      <c r="D36" s="25"/>
      <c r="E36" s="25"/>
      <c r="F36" s="25"/>
      <c r="G36" s="25"/>
      <c r="H36" s="25"/>
      <c r="I36" s="25"/>
    </row>
    <row r="37" ht="75.0" customHeight="1">
      <c r="B37" s="25"/>
      <c r="C37" s="26"/>
      <c r="D37" s="25"/>
      <c r="E37" s="25"/>
      <c r="F37" s="25"/>
      <c r="G37" s="25"/>
      <c r="H37" s="25"/>
      <c r="I37" s="25"/>
    </row>
    <row r="38" ht="75.0" customHeight="1">
      <c r="B38" s="25"/>
      <c r="C38" s="26"/>
      <c r="D38" s="25"/>
      <c r="E38" s="25"/>
      <c r="F38" s="25"/>
      <c r="G38" s="25"/>
      <c r="H38" s="25"/>
      <c r="I38" s="25"/>
    </row>
    <row r="39" ht="75.0" customHeight="1">
      <c r="B39" s="25"/>
      <c r="C39" s="26"/>
      <c r="D39" s="25"/>
      <c r="E39" s="25"/>
      <c r="F39" s="25"/>
      <c r="G39" s="25"/>
      <c r="H39" s="25"/>
      <c r="I39" s="25"/>
    </row>
    <row r="40" ht="75.0" customHeight="1">
      <c r="B40" s="25"/>
      <c r="C40" s="26"/>
      <c r="D40" s="25"/>
      <c r="E40" s="25"/>
      <c r="F40" s="25"/>
      <c r="G40" s="25"/>
      <c r="H40" s="25"/>
      <c r="I40" s="25"/>
    </row>
    <row r="41" ht="75.0" customHeight="1">
      <c r="B41" s="25"/>
      <c r="C41" s="26"/>
      <c r="D41" s="25"/>
      <c r="E41" s="25"/>
      <c r="F41" s="25"/>
      <c r="G41" s="25"/>
      <c r="H41" s="25"/>
      <c r="I41" s="25"/>
    </row>
    <row r="42" ht="75.0" customHeight="1">
      <c r="B42" s="25"/>
      <c r="C42" s="26"/>
      <c r="D42" s="25"/>
      <c r="E42" s="25"/>
      <c r="F42" s="25"/>
      <c r="G42" s="25"/>
      <c r="H42" s="25"/>
      <c r="I42" s="25"/>
    </row>
    <row r="43" ht="75.0" customHeight="1">
      <c r="B43" s="25"/>
      <c r="C43" s="26"/>
      <c r="D43" s="25"/>
      <c r="E43" s="25"/>
      <c r="F43" s="25"/>
      <c r="G43" s="25"/>
      <c r="H43" s="25"/>
      <c r="I43" s="25"/>
    </row>
    <row r="44" ht="75.0" customHeight="1">
      <c r="B44" s="25"/>
      <c r="C44" s="26"/>
      <c r="D44" s="25"/>
      <c r="E44" s="25"/>
      <c r="F44" s="25"/>
      <c r="G44" s="25"/>
      <c r="H44" s="25"/>
      <c r="I44" s="25"/>
    </row>
    <row r="45" ht="75.0" customHeight="1">
      <c r="B45" s="25"/>
      <c r="C45" s="26"/>
      <c r="D45" s="25"/>
      <c r="E45" s="25"/>
      <c r="F45" s="25"/>
      <c r="G45" s="25"/>
      <c r="H45" s="25"/>
      <c r="I45" s="25"/>
    </row>
    <row r="46" ht="75.0" customHeight="1">
      <c r="B46" s="25"/>
      <c r="C46" s="26"/>
      <c r="D46" s="25"/>
      <c r="E46" s="25"/>
      <c r="F46" s="25"/>
      <c r="G46" s="25"/>
      <c r="H46" s="25"/>
      <c r="I46" s="25"/>
    </row>
    <row r="47" ht="75.0" customHeight="1">
      <c r="B47" s="25"/>
      <c r="C47" s="26"/>
      <c r="D47" s="25"/>
      <c r="E47" s="25"/>
      <c r="F47" s="25"/>
      <c r="G47" s="25"/>
      <c r="H47" s="25"/>
      <c r="I47" s="25"/>
    </row>
    <row r="48" ht="75.0" customHeight="1">
      <c r="B48" s="25"/>
      <c r="C48" s="26"/>
      <c r="D48" s="25"/>
      <c r="E48" s="25"/>
      <c r="F48" s="25"/>
      <c r="G48" s="25"/>
      <c r="H48" s="25"/>
      <c r="I48" s="25"/>
    </row>
    <row r="49" ht="75.0" customHeight="1">
      <c r="B49" s="25"/>
      <c r="C49" s="26"/>
      <c r="D49" s="25"/>
      <c r="E49" s="25"/>
      <c r="F49" s="25"/>
      <c r="G49" s="25"/>
      <c r="H49" s="25"/>
      <c r="I49" s="25"/>
    </row>
    <row r="50" ht="75.0" customHeight="1">
      <c r="B50" s="25"/>
      <c r="C50" s="26"/>
      <c r="D50" s="25"/>
      <c r="E50" s="25"/>
      <c r="F50" s="25"/>
      <c r="G50" s="25"/>
      <c r="H50" s="25"/>
      <c r="I50" s="25"/>
    </row>
    <row r="51" ht="75.0" customHeight="1">
      <c r="B51" s="25"/>
      <c r="C51" s="26"/>
      <c r="D51" s="25"/>
      <c r="E51" s="25"/>
      <c r="F51" s="25"/>
      <c r="G51" s="25"/>
      <c r="H51" s="25"/>
      <c r="I51" s="25"/>
    </row>
    <row r="52" ht="75.0" customHeight="1">
      <c r="B52" s="25"/>
      <c r="C52" s="26"/>
      <c r="D52" s="25"/>
      <c r="E52" s="25"/>
      <c r="F52" s="25"/>
      <c r="G52" s="25"/>
      <c r="H52" s="25"/>
      <c r="I52" s="25"/>
    </row>
    <row r="53" ht="75.0" customHeight="1">
      <c r="B53" s="25"/>
      <c r="C53" s="26"/>
      <c r="D53" s="25"/>
      <c r="E53" s="25"/>
      <c r="F53" s="25"/>
      <c r="G53" s="25"/>
      <c r="H53" s="25"/>
      <c r="I53" s="25"/>
    </row>
    <row r="54" ht="75.0" customHeight="1">
      <c r="B54" s="25"/>
      <c r="C54" s="26"/>
      <c r="D54" s="25"/>
      <c r="E54" s="25"/>
      <c r="F54" s="25"/>
      <c r="G54" s="25"/>
      <c r="H54" s="25"/>
      <c r="I54" s="25"/>
    </row>
    <row r="55" ht="75.0" customHeight="1">
      <c r="B55" s="25"/>
      <c r="C55" s="26"/>
      <c r="D55" s="25"/>
      <c r="E55" s="25"/>
      <c r="F55" s="25"/>
      <c r="G55" s="25"/>
      <c r="H55" s="25"/>
      <c r="I55" s="25"/>
    </row>
    <row r="56" ht="75.0" customHeight="1">
      <c r="B56" s="25"/>
      <c r="C56" s="26"/>
      <c r="D56" s="25"/>
      <c r="E56" s="25"/>
      <c r="F56" s="25"/>
      <c r="G56" s="25"/>
      <c r="H56" s="25"/>
      <c r="I56" s="25"/>
    </row>
    <row r="57" ht="75.0" customHeight="1">
      <c r="B57" s="25"/>
      <c r="C57" s="26"/>
      <c r="D57" s="25"/>
      <c r="E57" s="25"/>
      <c r="F57" s="25"/>
      <c r="G57" s="25"/>
      <c r="H57" s="25"/>
      <c r="I57" s="25"/>
    </row>
    <row r="58" ht="75.0" customHeight="1">
      <c r="B58" s="25"/>
      <c r="C58" s="26"/>
      <c r="D58" s="25"/>
      <c r="E58" s="25"/>
      <c r="F58" s="25"/>
      <c r="G58" s="25"/>
      <c r="H58" s="25"/>
      <c r="I58" s="25"/>
    </row>
    <row r="59" ht="75.0" customHeight="1">
      <c r="B59" s="25"/>
      <c r="C59" s="26"/>
      <c r="D59" s="25"/>
      <c r="E59" s="25"/>
      <c r="F59" s="25"/>
      <c r="G59" s="25"/>
      <c r="H59" s="25"/>
      <c r="I59" s="25"/>
    </row>
    <row r="60" ht="75.0" customHeight="1">
      <c r="B60" s="25"/>
      <c r="C60" s="26"/>
      <c r="D60" s="25"/>
      <c r="E60" s="25"/>
      <c r="F60" s="25"/>
      <c r="G60" s="25"/>
      <c r="H60" s="25"/>
      <c r="I60" s="25"/>
    </row>
    <row r="61" ht="75.0" customHeight="1">
      <c r="B61" s="25"/>
      <c r="C61" s="26"/>
      <c r="D61" s="25"/>
      <c r="E61" s="25"/>
      <c r="F61" s="25"/>
      <c r="G61" s="25"/>
      <c r="H61" s="25"/>
      <c r="I61" s="25"/>
    </row>
    <row r="62" ht="75.0" customHeight="1">
      <c r="B62" s="25"/>
      <c r="C62" s="26"/>
      <c r="D62" s="25"/>
      <c r="E62" s="25"/>
      <c r="F62" s="25"/>
      <c r="G62" s="25"/>
      <c r="H62" s="25"/>
      <c r="I62" s="25"/>
    </row>
    <row r="63" ht="75.0" customHeight="1">
      <c r="B63" s="25"/>
      <c r="C63" s="26"/>
      <c r="D63" s="25"/>
      <c r="E63" s="25"/>
      <c r="F63" s="25"/>
      <c r="G63" s="25"/>
      <c r="H63" s="25"/>
      <c r="I63" s="25"/>
    </row>
    <row r="64" ht="75.0" customHeight="1">
      <c r="B64" s="25"/>
      <c r="C64" s="26"/>
      <c r="D64" s="25"/>
      <c r="E64" s="25"/>
      <c r="F64" s="25"/>
      <c r="G64" s="25"/>
      <c r="H64" s="25"/>
      <c r="I64" s="25"/>
    </row>
    <row r="65" ht="75.0" customHeight="1">
      <c r="B65" s="25"/>
      <c r="C65" s="26"/>
      <c r="D65" s="25"/>
      <c r="E65" s="25"/>
      <c r="F65" s="25"/>
      <c r="G65" s="25"/>
      <c r="H65" s="25"/>
      <c r="I65" s="25"/>
    </row>
    <row r="66" ht="75.0" customHeight="1">
      <c r="B66" s="25"/>
      <c r="C66" s="26"/>
      <c r="D66" s="25"/>
      <c r="E66" s="25"/>
      <c r="F66" s="25"/>
      <c r="G66" s="25"/>
      <c r="H66" s="25"/>
      <c r="I66" s="25"/>
    </row>
    <row r="67" ht="75.0" customHeight="1">
      <c r="B67" s="25"/>
      <c r="C67" s="26"/>
      <c r="D67" s="25"/>
      <c r="E67" s="25"/>
      <c r="F67" s="25"/>
      <c r="G67" s="25"/>
      <c r="H67" s="25"/>
      <c r="I67" s="25"/>
    </row>
    <row r="68" ht="75.0" customHeight="1">
      <c r="B68" s="25"/>
      <c r="C68" s="26"/>
      <c r="D68" s="25"/>
      <c r="E68" s="25"/>
      <c r="F68" s="25"/>
      <c r="G68" s="25"/>
      <c r="H68" s="25"/>
      <c r="I68" s="25"/>
    </row>
    <row r="69" ht="75.0" customHeight="1">
      <c r="B69" s="25"/>
      <c r="C69" s="26"/>
      <c r="D69" s="25"/>
      <c r="E69" s="25"/>
      <c r="F69" s="25"/>
      <c r="G69" s="25"/>
      <c r="H69" s="25"/>
      <c r="I69" s="25"/>
    </row>
    <row r="70" ht="75.0" customHeight="1">
      <c r="B70" s="25"/>
      <c r="C70" s="26"/>
      <c r="D70" s="25"/>
      <c r="E70" s="25"/>
      <c r="F70" s="25"/>
      <c r="G70" s="25"/>
      <c r="H70" s="25"/>
      <c r="I70" s="25"/>
    </row>
    <row r="71" ht="75.0" customHeight="1">
      <c r="B71" s="25"/>
      <c r="C71" s="26"/>
      <c r="D71" s="25"/>
      <c r="E71" s="25"/>
      <c r="F71" s="25"/>
      <c r="G71" s="25"/>
      <c r="H71" s="25"/>
      <c r="I71" s="25"/>
    </row>
    <row r="72" ht="75.0" customHeight="1">
      <c r="B72" s="25"/>
      <c r="C72" s="26"/>
      <c r="D72" s="25"/>
      <c r="E72" s="25"/>
      <c r="F72" s="25"/>
      <c r="G72" s="25"/>
      <c r="H72" s="25"/>
      <c r="I72" s="25"/>
    </row>
    <row r="73" ht="75.0" customHeight="1">
      <c r="B73" s="25"/>
      <c r="C73" s="26"/>
      <c r="D73" s="25"/>
      <c r="E73" s="25"/>
      <c r="F73" s="25"/>
      <c r="G73" s="25"/>
      <c r="H73" s="25"/>
      <c r="I73" s="25"/>
    </row>
    <row r="74" ht="75.0" customHeight="1">
      <c r="B74" s="25"/>
      <c r="C74" s="26"/>
      <c r="D74" s="25"/>
      <c r="E74" s="25"/>
      <c r="F74" s="25"/>
      <c r="G74" s="25"/>
      <c r="H74" s="25"/>
      <c r="I74" s="25"/>
    </row>
    <row r="75" ht="75.0" customHeight="1">
      <c r="B75" s="25"/>
      <c r="C75" s="26"/>
      <c r="D75" s="25"/>
      <c r="E75" s="25"/>
      <c r="F75" s="25"/>
      <c r="G75" s="25"/>
      <c r="H75" s="25"/>
      <c r="I75" s="25"/>
    </row>
    <row r="76" ht="75.0" customHeight="1">
      <c r="B76" s="25"/>
      <c r="C76" s="26"/>
      <c r="D76" s="25"/>
      <c r="E76" s="25"/>
      <c r="F76" s="25"/>
      <c r="G76" s="25"/>
      <c r="H76" s="25"/>
      <c r="I76" s="25"/>
    </row>
    <row r="77" ht="75.0" customHeight="1">
      <c r="B77" s="25"/>
      <c r="C77" s="26"/>
      <c r="D77" s="25"/>
      <c r="E77" s="25"/>
      <c r="F77" s="25"/>
      <c r="G77" s="25"/>
      <c r="H77" s="25"/>
      <c r="I77" s="25"/>
    </row>
    <row r="78" ht="75.0" customHeight="1">
      <c r="B78" s="25"/>
      <c r="C78" s="26"/>
      <c r="D78" s="25"/>
      <c r="E78" s="25"/>
      <c r="F78" s="25"/>
      <c r="G78" s="25"/>
      <c r="H78" s="25"/>
      <c r="I78" s="25"/>
    </row>
    <row r="79" ht="75.0" customHeight="1">
      <c r="B79" s="25"/>
      <c r="C79" s="26"/>
      <c r="D79" s="25"/>
      <c r="E79" s="25"/>
      <c r="F79" s="25"/>
      <c r="G79" s="25"/>
      <c r="H79" s="25"/>
      <c r="I79" s="25"/>
    </row>
    <row r="80" ht="75.0" customHeight="1">
      <c r="B80" s="25"/>
      <c r="C80" s="26"/>
      <c r="D80" s="25"/>
      <c r="E80" s="25"/>
      <c r="F80" s="25"/>
      <c r="G80" s="25"/>
      <c r="H80" s="25"/>
      <c r="I80" s="25"/>
    </row>
    <row r="81" ht="75.0" customHeight="1">
      <c r="B81" s="25"/>
      <c r="C81" s="26"/>
      <c r="D81" s="25"/>
      <c r="E81" s="25"/>
      <c r="F81" s="25"/>
      <c r="G81" s="25"/>
      <c r="H81" s="25"/>
      <c r="I81" s="25"/>
    </row>
    <row r="82" ht="75.0" customHeight="1">
      <c r="B82" s="25"/>
      <c r="C82" s="26"/>
      <c r="D82" s="25"/>
      <c r="E82" s="25"/>
      <c r="F82" s="25"/>
      <c r="G82" s="25"/>
      <c r="H82" s="25"/>
      <c r="I82" s="25"/>
    </row>
    <row r="83" ht="75.0" customHeight="1">
      <c r="B83" s="25"/>
      <c r="C83" s="26"/>
      <c r="D83" s="25"/>
      <c r="E83" s="25"/>
      <c r="F83" s="25"/>
      <c r="G83" s="25"/>
      <c r="H83" s="25"/>
      <c r="I83" s="25"/>
    </row>
    <row r="84" ht="75.0" customHeight="1">
      <c r="B84" s="25"/>
      <c r="C84" s="26"/>
      <c r="D84" s="25"/>
      <c r="E84" s="25"/>
      <c r="F84" s="25"/>
      <c r="G84" s="25"/>
      <c r="H84" s="25"/>
      <c r="I84" s="25"/>
    </row>
    <row r="85" ht="75.0" customHeight="1">
      <c r="B85" s="25"/>
      <c r="C85" s="26"/>
      <c r="D85" s="25"/>
      <c r="E85" s="25"/>
      <c r="F85" s="25"/>
      <c r="G85" s="25"/>
      <c r="H85" s="25"/>
      <c r="I85" s="25"/>
    </row>
    <row r="86" ht="75.0" customHeight="1">
      <c r="B86" s="25"/>
      <c r="C86" s="26"/>
      <c r="D86" s="25"/>
      <c r="E86" s="25"/>
      <c r="F86" s="25"/>
      <c r="G86" s="25"/>
      <c r="H86" s="25"/>
      <c r="I86" s="25"/>
    </row>
    <row r="87" ht="75.0" customHeight="1">
      <c r="B87" s="25"/>
      <c r="C87" s="26"/>
      <c r="D87" s="25"/>
      <c r="E87" s="25"/>
      <c r="F87" s="25"/>
      <c r="G87" s="25"/>
      <c r="H87" s="25"/>
      <c r="I87" s="25"/>
    </row>
    <row r="88" ht="75.0" customHeight="1">
      <c r="B88" s="25"/>
      <c r="C88" s="26"/>
      <c r="D88" s="25"/>
      <c r="E88" s="25"/>
      <c r="F88" s="25"/>
      <c r="G88" s="25"/>
      <c r="H88" s="25"/>
      <c r="I88" s="25"/>
    </row>
    <row r="89" ht="75.0" customHeight="1">
      <c r="B89" s="25"/>
      <c r="C89" s="26"/>
      <c r="D89" s="25"/>
      <c r="E89" s="25"/>
      <c r="F89" s="25"/>
      <c r="G89" s="25"/>
      <c r="H89" s="25"/>
      <c r="I89" s="25"/>
    </row>
    <row r="90" ht="75.0" customHeight="1">
      <c r="B90" s="25"/>
      <c r="C90" s="26"/>
      <c r="D90" s="25"/>
      <c r="E90" s="25"/>
      <c r="F90" s="25"/>
      <c r="G90" s="25"/>
      <c r="H90" s="25"/>
      <c r="I90" s="25"/>
    </row>
    <row r="91" ht="75.0" customHeight="1">
      <c r="B91" s="25"/>
      <c r="C91" s="26"/>
      <c r="D91" s="25"/>
      <c r="E91" s="25"/>
      <c r="F91" s="25"/>
      <c r="G91" s="25"/>
      <c r="H91" s="25"/>
      <c r="I91" s="25"/>
    </row>
    <row r="92" ht="75.0" customHeight="1">
      <c r="B92" s="25"/>
      <c r="C92" s="26"/>
      <c r="D92" s="25"/>
      <c r="E92" s="25"/>
      <c r="F92" s="25"/>
      <c r="G92" s="25"/>
      <c r="H92" s="25"/>
      <c r="I92" s="25"/>
    </row>
    <row r="93" ht="75.0" customHeight="1">
      <c r="B93" s="25"/>
      <c r="C93" s="26"/>
      <c r="D93" s="25"/>
      <c r="E93" s="25"/>
      <c r="F93" s="25"/>
      <c r="G93" s="25"/>
      <c r="H93" s="25"/>
      <c r="I93" s="25"/>
    </row>
    <row r="94" ht="75.0" customHeight="1">
      <c r="B94" s="25"/>
      <c r="C94" s="26"/>
      <c r="D94" s="25"/>
      <c r="E94" s="25"/>
      <c r="F94" s="25"/>
      <c r="G94" s="25"/>
      <c r="H94" s="25"/>
      <c r="I94" s="25"/>
    </row>
    <row r="95" ht="75.0" customHeight="1">
      <c r="B95" s="25"/>
      <c r="C95" s="26"/>
      <c r="D95" s="25"/>
      <c r="E95" s="25"/>
      <c r="F95" s="25"/>
      <c r="G95" s="25"/>
      <c r="H95" s="25"/>
      <c r="I95" s="25"/>
    </row>
    <row r="96" ht="75.0" customHeight="1">
      <c r="B96" s="25"/>
      <c r="C96" s="26"/>
      <c r="D96" s="25"/>
      <c r="E96" s="25"/>
      <c r="F96" s="25"/>
      <c r="G96" s="25"/>
      <c r="H96" s="25"/>
      <c r="I96" s="25"/>
    </row>
    <row r="97" ht="75.0" customHeight="1">
      <c r="B97" s="25"/>
      <c r="C97" s="26"/>
      <c r="D97" s="25"/>
      <c r="E97" s="25"/>
      <c r="F97" s="25"/>
      <c r="G97" s="25"/>
      <c r="H97" s="25"/>
      <c r="I97" s="25"/>
    </row>
    <row r="98" ht="75.0" customHeight="1">
      <c r="B98" s="25"/>
      <c r="C98" s="26"/>
      <c r="D98" s="25"/>
      <c r="E98" s="25"/>
      <c r="F98" s="25"/>
      <c r="G98" s="25"/>
      <c r="H98" s="25"/>
      <c r="I98" s="25"/>
    </row>
    <row r="99" ht="75.0" customHeight="1">
      <c r="B99" s="25"/>
      <c r="C99" s="26"/>
      <c r="D99" s="25"/>
      <c r="E99" s="25"/>
      <c r="F99" s="25"/>
      <c r="G99" s="25"/>
      <c r="H99" s="25"/>
      <c r="I99" s="25"/>
    </row>
    <row r="100" ht="75.0" customHeight="1">
      <c r="B100" s="25"/>
      <c r="C100" s="26"/>
      <c r="D100" s="25"/>
      <c r="E100" s="25"/>
      <c r="F100" s="25"/>
      <c r="G100" s="25"/>
      <c r="H100" s="25"/>
      <c r="I100" s="25"/>
    </row>
  </sheetData>
  <dataValidations>
    <dataValidation type="list" allowBlank="1" showErrorMessage="1" sqref="D6:D100">
      <formula1>"Pan de Miga,PAN FRANCES"</formula1>
    </dataValidation>
    <dataValidation type="list" allowBlank="1" showErrorMessage="1" sqref="E6:E100">
      <formula1>"2-Actual Proceso,1-Actual,5-Formulacion 3,4-Formulacion Productos existentes,3-Actual Proceso y ajuste F"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5.43"/>
  </cols>
  <sheetData>
    <row r="1" ht="22.5" customHeight="1">
      <c r="A1" s="18" t="s">
        <v>5</v>
      </c>
      <c r="B1" s="18" t="s">
        <v>11</v>
      </c>
    </row>
    <row r="2" ht="22.5" customHeight="1">
      <c r="A2" s="24" t="s">
        <v>18</v>
      </c>
      <c r="B2" s="24" t="s">
        <v>19</v>
      </c>
    </row>
    <row r="3" ht="22.5" customHeight="1">
      <c r="A3" s="24" t="s">
        <v>20</v>
      </c>
      <c r="B3" s="24" t="s">
        <v>19</v>
      </c>
    </row>
    <row r="4" ht="22.5" customHeight="1">
      <c r="A4" s="24" t="s">
        <v>21</v>
      </c>
      <c r="B4" s="24"/>
    </row>
    <row r="5" ht="22.5" customHeight="1">
      <c r="A5" s="24" t="s">
        <v>22</v>
      </c>
      <c r="B5" s="24"/>
    </row>
    <row r="6" ht="22.5" customHeight="1">
      <c r="A6" s="24" t="s">
        <v>23</v>
      </c>
      <c r="B6" s="24" t="s">
        <v>19</v>
      </c>
    </row>
    <row r="7" ht="22.5" customHeight="1">
      <c r="A7" s="24" t="s">
        <v>24</v>
      </c>
      <c r="B7" s="24" t="s">
        <v>19</v>
      </c>
    </row>
    <row r="8" ht="22.5" customHeight="1">
      <c r="A8" s="24" t="s">
        <v>25</v>
      </c>
      <c r="B8" s="24"/>
    </row>
    <row r="9" ht="22.5" customHeight="1">
      <c r="A9" s="24" t="s">
        <v>27</v>
      </c>
      <c r="B9" s="24" t="s">
        <v>28</v>
      </c>
    </row>
    <row r="10" ht="22.5" customHeight="1">
      <c r="A10" s="24" t="s">
        <v>29</v>
      </c>
      <c r="B10" s="24"/>
    </row>
    <row r="11" ht="22.5" customHeight="1">
      <c r="A11" s="24" t="s">
        <v>30</v>
      </c>
      <c r="B11" s="24" t="s">
        <v>31</v>
      </c>
    </row>
    <row r="12" ht="22.5" customHeight="1">
      <c r="A12" s="24" t="s">
        <v>32</v>
      </c>
      <c r="B12" s="24" t="s">
        <v>19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86"/>
    <col customWidth="1" min="2" max="2" width="18.71"/>
    <col customWidth="1" min="3" max="4" width="14.43"/>
    <col customWidth="1" min="5" max="5" width="18.71"/>
    <col customWidth="1" min="6" max="6" width="7.29"/>
  </cols>
  <sheetData>
    <row r="1" ht="18.75" customHeight="1">
      <c r="A1" s="33" t="s">
        <v>10</v>
      </c>
      <c r="B1" s="35" t="s">
        <v>36</v>
      </c>
      <c r="C1" s="37"/>
      <c r="D1" s="37"/>
      <c r="E1" s="37">
        <v>3.0</v>
      </c>
    </row>
    <row r="2" ht="18.75" customHeight="1">
      <c r="A2" s="6" t="s">
        <v>1</v>
      </c>
      <c r="B2" s="40"/>
      <c r="C2" s="21"/>
      <c r="D2" s="2"/>
      <c r="E2" s="2"/>
    </row>
    <row r="3" ht="18.75" customHeight="1">
      <c r="A3" s="14"/>
      <c r="B3" s="2"/>
      <c r="C3" s="21"/>
      <c r="D3" s="2"/>
      <c r="E3" s="2"/>
    </row>
    <row r="4" ht="18.75" customHeight="1">
      <c r="A4" s="44" t="s">
        <v>39</v>
      </c>
      <c r="B4" s="46" t="s">
        <v>19</v>
      </c>
      <c r="C4" s="47"/>
      <c r="D4" s="49"/>
      <c r="E4" s="49" t="s">
        <v>41</v>
      </c>
      <c r="F4" s="51"/>
    </row>
    <row r="5" ht="18.75" customHeight="1">
      <c r="A5" s="60" t="s">
        <v>43</v>
      </c>
      <c r="B5" s="62">
        <v>1.0</v>
      </c>
      <c r="C5" s="63"/>
      <c r="D5" s="63"/>
      <c r="E5" s="63">
        <v>100000.0</v>
      </c>
      <c r="F5" s="63" t="b">
        <v>0</v>
      </c>
    </row>
    <row r="6" ht="18.75" customHeight="1">
      <c r="A6" s="60" t="s">
        <v>45</v>
      </c>
      <c r="B6" s="68">
        <v>0.018</v>
      </c>
      <c r="C6" s="70"/>
      <c r="D6" s="70"/>
      <c r="E6" s="70">
        <f t="shared" ref="E6:E8" si="1">$E$5*B6</f>
        <v>1800</v>
      </c>
      <c r="F6" s="70" t="b">
        <v>0</v>
      </c>
    </row>
    <row r="7" ht="18.75" customHeight="1">
      <c r="A7" s="60" t="s">
        <v>49</v>
      </c>
      <c r="B7" s="68">
        <v>0.025</v>
      </c>
      <c r="C7" s="70"/>
      <c r="D7" s="70"/>
      <c r="E7" s="70">
        <f t="shared" si="1"/>
        <v>2500</v>
      </c>
      <c r="F7" s="70" t="b">
        <v>0</v>
      </c>
    </row>
    <row r="8" ht="18.75" customHeight="1">
      <c r="A8" s="60" t="s">
        <v>2</v>
      </c>
      <c r="B8" s="68">
        <v>0.51</v>
      </c>
      <c r="C8" s="70"/>
      <c r="D8" s="70"/>
      <c r="E8" s="70">
        <f t="shared" si="1"/>
        <v>51000</v>
      </c>
      <c r="F8" s="70" t="b">
        <v>0</v>
      </c>
    </row>
    <row r="9" ht="18.75" customHeight="1">
      <c r="A9" s="85"/>
      <c r="B9" s="2"/>
      <c r="C9" s="2"/>
      <c r="D9" s="2"/>
      <c r="E9" s="2"/>
      <c r="F9" s="87"/>
    </row>
    <row r="10" ht="18.75" customHeight="1">
      <c r="A10" s="89" t="s">
        <v>52</v>
      </c>
      <c r="B10" s="35" t="s">
        <v>53</v>
      </c>
      <c r="C10" s="35"/>
      <c r="D10" s="35"/>
      <c r="E10" s="2"/>
      <c r="F10" s="87"/>
    </row>
    <row r="11" ht="18.75" customHeight="1">
      <c r="A11" s="93" t="s">
        <v>54</v>
      </c>
      <c r="B11" s="95">
        <v>15.0</v>
      </c>
      <c r="C11" s="97"/>
      <c r="D11" s="99"/>
      <c r="E11" s="99">
        <f t="shared" ref="E11:E16" si="2">(B11/$E$5)*$E$5</f>
        <v>15</v>
      </c>
      <c r="F11" s="104" t="b">
        <v>0</v>
      </c>
    </row>
    <row r="12" ht="18.75" customHeight="1">
      <c r="A12" s="93" t="s">
        <v>59</v>
      </c>
      <c r="B12" s="95">
        <v>260.0</v>
      </c>
      <c r="C12" s="97" t="str">
        <f>IFERROR(VLOOKUP(A12,Datos!$B$3:$C$52,2,FALSE),"")</f>
        <v/>
      </c>
      <c r="D12" s="99"/>
      <c r="E12" s="99">
        <f t="shared" si="2"/>
        <v>260</v>
      </c>
      <c r="F12" s="108" t="b">
        <v>0</v>
      </c>
    </row>
    <row r="13" ht="18.75" customHeight="1">
      <c r="A13" s="93" t="s">
        <v>61</v>
      </c>
      <c r="B13" s="95">
        <v>200.0</v>
      </c>
      <c r="C13" s="97" t="str">
        <f>IFERROR(VLOOKUP(A13,Datos!$B$3:$C$52,2,FALSE),"")</f>
        <v/>
      </c>
      <c r="D13" s="99"/>
      <c r="E13" s="99">
        <f t="shared" si="2"/>
        <v>200</v>
      </c>
      <c r="F13" s="108" t="b">
        <v>0</v>
      </c>
    </row>
    <row r="14" ht="18.75" customHeight="1">
      <c r="A14" s="109" t="s">
        <v>62</v>
      </c>
      <c r="B14" s="95">
        <v>40.0</v>
      </c>
      <c r="C14" s="97" t="str">
        <f>IFERROR(VLOOKUP(A14,Datos!$B$3:$C$52,2,FALSE),"")</f>
        <v/>
      </c>
      <c r="D14" s="99"/>
      <c r="E14" s="99">
        <f t="shared" si="2"/>
        <v>40</v>
      </c>
      <c r="F14" s="108" t="b">
        <v>0</v>
      </c>
    </row>
    <row r="15" ht="18.75" customHeight="1">
      <c r="A15" s="109" t="s">
        <v>63</v>
      </c>
      <c r="B15" s="95">
        <v>200.0</v>
      </c>
      <c r="C15" s="97" t="str">
        <f>IFERROR(VLOOKUP(A15,Datos!$B$3:$C$52,2,FALSE),"")</f>
        <v/>
      </c>
      <c r="D15" s="110">
        <f t="shared" ref="D15:D16" si="3">(C15/1000)*B15</f>
        <v>0</v>
      </c>
      <c r="E15" s="99">
        <f t="shared" si="2"/>
        <v>200</v>
      </c>
      <c r="F15" s="108" t="b">
        <v>0</v>
      </c>
    </row>
    <row r="16" ht="18.75" customHeight="1">
      <c r="A16" s="109" t="s">
        <v>64</v>
      </c>
      <c r="B16" s="95">
        <v>1.5</v>
      </c>
      <c r="C16" s="97">
        <f>IFERROR(VLOOKUP(A16,Datos!$B$3:$C$52,2,FALSE),"")</f>
        <v>38</v>
      </c>
      <c r="D16" s="110">
        <f t="shared" si="3"/>
        <v>0.057</v>
      </c>
      <c r="E16" s="99">
        <f t="shared" si="2"/>
        <v>1.5</v>
      </c>
      <c r="F16" s="108" t="b">
        <v>0</v>
      </c>
    </row>
    <row r="17" ht="18.75" customHeight="1">
      <c r="A17" s="111" t="s">
        <v>65</v>
      </c>
      <c r="B17" s="112">
        <f>SUM(B11:B16)</f>
        <v>716.5</v>
      </c>
      <c r="C17" s="112"/>
      <c r="D17" s="112">
        <f>SUM(D11:D16)</f>
        <v>0.057</v>
      </c>
      <c r="E17" s="112"/>
      <c r="F17" s="113"/>
    </row>
    <row r="18" ht="18.75" customHeight="1">
      <c r="A18" s="111" t="s">
        <v>66</v>
      </c>
      <c r="B18" s="114"/>
      <c r="C18" s="112"/>
      <c r="D18" s="112"/>
      <c r="E18" s="112"/>
      <c r="F18" s="113"/>
    </row>
    <row r="19" ht="18.75" customHeight="1">
      <c r="A19" s="115" t="s">
        <v>67</v>
      </c>
      <c r="B19" s="116">
        <v>0.015</v>
      </c>
      <c r="C19" s="117"/>
      <c r="D19" s="99">
        <f>(C19/1000)*B19</f>
        <v>0</v>
      </c>
      <c r="E19" s="118">
        <f>B19*$E$5</f>
        <v>1500</v>
      </c>
      <c r="F19" s="118" t="b">
        <v>0</v>
      </c>
    </row>
    <row r="20" ht="18.75" customHeight="1">
      <c r="A20" s="119"/>
      <c r="B20" s="120"/>
      <c r="C20" s="118"/>
      <c r="D20" s="118"/>
      <c r="E20" s="118">
        <f>(B20/25000)*$E$5</f>
        <v>0</v>
      </c>
      <c r="F20" s="118" t="b">
        <v>0</v>
      </c>
    </row>
    <row r="21" ht="18.75" customHeight="1">
      <c r="A21" s="119"/>
      <c r="B21" s="120"/>
      <c r="C21" s="121"/>
      <c r="D21" s="121"/>
      <c r="E21" s="121"/>
      <c r="F21" s="122" t="b">
        <v>0</v>
      </c>
    </row>
    <row r="22" ht="18.75" customHeight="1">
      <c r="A22" s="123" t="s">
        <v>70</v>
      </c>
      <c r="B22" s="124">
        <f>SUM(B19:B21)</f>
        <v>0.015</v>
      </c>
      <c r="C22" s="80"/>
      <c r="D22" s="112">
        <f>SUM(D19:D21)</f>
        <v>0</v>
      </c>
      <c r="E22" s="80"/>
      <c r="F22" s="126"/>
    </row>
    <row r="23">
      <c r="A23" s="127"/>
      <c r="B23" s="81"/>
      <c r="C23" s="80"/>
      <c r="D23" s="80"/>
      <c r="E23" s="80">
        <f>SUM(E5:E21)</f>
        <v>157516.5</v>
      </c>
      <c r="F23" s="126"/>
    </row>
    <row r="24">
      <c r="A24" s="127"/>
      <c r="B24" s="81"/>
      <c r="C24" s="80"/>
      <c r="D24" s="80"/>
      <c r="E24" s="80"/>
      <c r="F24" s="80"/>
    </row>
    <row r="25">
      <c r="A25" s="127"/>
      <c r="B25" s="81"/>
      <c r="C25" s="80"/>
      <c r="D25" s="80"/>
      <c r="E25" s="80"/>
      <c r="F25" s="80"/>
    </row>
  </sheetData>
  <dataValidations>
    <dataValidation type="list" allowBlank="1" showErrorMessage="1" sqref="A5:A8 A11:A16 A19:A21">
      <formula1>Datos!$B$3:$B$52</formula1>
    </dataValidation>
    <dataValidation type="custom" allowBlank="1" showDropDown="1" sqref="B2">
      <formula1>OR(NOT(ISERROR(DATEVALUE(B2))), AND(ISNUMBER(B2), LEFT(CELL("format", B2))="D"))</formula1>
    </dataValidation>
  </dataValidations>
  <printOptions/>
  <pageMargins bottom="0.42" footer="0.0" header="0.0" left="0.15748031496062992" right="0.15748031496062992" top="0.44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86"/>
    <col customWidth="1" min="2" max="2" width="18.71"/>
    <col customWidth="1" min="3" max="4" width="14.43"/>
    <col customWidth="1" min="5" max="5" width="18.71"/>
    <col customWidth="1" min="6" max="6" width="7.29"/>
  </cols>
  <sheetData>
    <row r="1" ht="18.75" customHeight="1">
      <c r="A1" s="33" t="s">
        <v>10</v>
      </c>
      <c r="B1" s="35" t="s">
        <v>36</v>
      </c>
      <c r="C1" s="37"/>
      <c r="D1" s="37"/>
      <c r="E1" s="37">
        <v>3.0</v>
      </c>
    </row>
    <row r="2" ht="18.75" customHeight="1">
      <c r="A2" s="6" t="s">
        <v>1</v>
      </c>
      <c r="B2" s="40"/>
      <c r="C2" s="21"/>
      <c r="D2" s="2"/>
      <c r="E2" s="2"/>
    </row>
    <row r="3" ht="18.75" customHeight="1">
      <c r="A3" s="14"/>
      <c r="B3" s="2"/>
      <c r="C3" s="21"/>
      <c r="D3" s="2"/>
      <c r="E3" s="2"/>
    </row>
    <row r="4" ht="18.75" customHeight="1">
      <c r="A4" s="44" t="s">
        <v>39</v>
      </c>
      <c r="B4" s="46" t="s">
        <v>19</v>
      </c>
      <c r="C4" s="47"/>
      <c r="D4" s="49"/>
      <c r="E4" s="49" t="s">
        <v>41</v>
      </c>
      <c r="F4" s="51"/>
    </row>
    <row r="5" ht="18.75" customHeight="1">
      <c r="A5" s="60" t="s">
        <v>43</v>
      </c>
      <c r="B5" s="62">
        <v>1.0</v>
      </c>
      <c r="C5" s="63"/>
      <c r="D5" s="63"/>
      <c r="E5" s="63">
        <v>100000.0</v>
      </c>
      <c r="F5" s="63" t="b">
        <v>0</v>
      </c>
    </row>
    <row r="6" ht="18.75" customHeight="1">
      <c r="A6" s="60" t="s">
        <v>45</v>
      </c>
      <c r="B6" s="68">
        <v>0.018</v>
      </c>
      <c r="C6" s="70"/>
      <c r="D6" s="70"/>
      <c r="E6" s="70">
        <f t="shared" ref="E6:E8" si="1">$E$5*B6</f>
        <v>1800</v>
      </c>
      <c r="F6" s="70" t="b">
        <v>0</v>
      </c>
    </row>
    <row r="7" ht="18.75" customHeight="1">
      <c r="A7" s="60" t="s">
        <v>49</v>
      </c>
      <c r="B7" s="68">
        <v>0.025</v>
      </c>
      <c r="C7" s="70"/>
      <c r="D7" s="70"/>
      <c r="E7" s="70">
        <f t="shared" si="1"/>
        <v>2500</v>
      </c>
      <c r="F7" s="70" t="b">
        <v>0</v>
      </c>
    </row>
    <row r="8" ht="18.75" customHeight="1">
      <c r="A8" s="60" t="s">
        <v>2</v>
      </c>
      <c r="B8" s="68">
        <v>0.51</v>
      </c>
      <c r="C8" s="70"/>
      <c r="D8" s="70"/>
      <c r="E8" s="70">
        <f t="shared" si="1"/>
        <v>51000</v>
      </c>
      <c r="F8" s="70" t="b">
        <v>0</v>
      </c>
    </row>
    <row r="9" ht="18.75" customHeight="1">
      <c r="A9" s="85"/>
      <c r="B9" s="2"/>
      <c r="C9" s="2"/>
      <c r="D9" s="2"/>
      <c r="E9" s="2"/>
      <c r="F9" s="87"/>
    </row>
    <row r="10" ht="18.75" customHeight="1">
      <c r="A10" s="89" t="s">
        <v>52</v>
      </c>
      <c r="B10" s="35" t="s">
        <v>53</v>
      </c>
      <c r="C10" s="35"/>
      <c r="D10" s="35"/>
      <c r="E10" s="2"/>
      <c r="F10" s="87"/>
    </row>
    <row r="11" ht="18.75" customHeight="1">
      <c r="A11" s="93" t="s">
        <v>54</v>
      </c>
      <c r="B11" s="95">
        <v>15.0</v>
      </c>
      <c r="C11" s="97"/>
      <c r="D11" s="99"/>
      <c r="E11" s="99">
        <f t="shared" ref="E11:E16" si="2">(B11/$E$5)*$E$5</f>
        <v>15</v>
      </c>
      <c r="F11" s="104" t="b">
        <v>0</v>
      </c>
    </row>
    <row r="12" ht="18.75" customHeight="1">
      <c r="A12" s="93" t="s">
        <v>59</v>
      </c>
      <c r="B12" s="95">
        <v>260.0</v>
      </c>
      <c r="C12" s="97" t="str">
        <f>IFERROR(VLOOKUP(A12,Datos!$B$3:$C$52,2,FALSE),"")</f>
        <v/>
      </c>
      <c r="D12" s="99"/>
      <c r="E12" s="99">
        <f t="shared" si="2"/>
        <v>260</v>
      </c>
      <c r="F12" s="108" t="b">
        <v>0</v>
      </c>
    </row>
    <row r="13" ht="18.75" customHeight="1">
      <c r="A13" s="93" t="s">
        <v>61</v>
      </c>
      <c r="B13" s="95">
        <v>200.0</v>
      </c>
      <c r="C13" s="97" t="str">
        <f>IFERROR(VLOOKUP(A13,Datos!$B$3:$C$52,2,FALSE),"")</f>
        <v/>
      </c>
      <c r="D13" s="99"/>
      <c r="E13" s="99">
        <f t="shared" si="2"/>
        <v>200</v>
      </c>
      <c r="F13" s="108" t="b">
        <v>0</v>
      </c>
    </row>
    <row r="14" ht="18.75" customHeight="1">
      <c r="A14" s="109" t="s">
        <v>62</v>
      </c>
      <c r="B14" s="95">
        <v>40.0</v>
      </c>
      <c r="C14" s="97" t="str">
        <f>IFERROR(VLOOKUP(A14,Datos!$B$3:$C$52,2,FALSE),"")</f>
        <v/>
      </c>
      <c r="D14" s="99"/>
      <c r="E14" s="99">
        <f t="shared" si="2"/>
        <v>40</v>
      </c>
      <c r="F14" s="108" t="b">
        <v>0</v>
      </c>
    </row>
    <row r="15" ht="18.75" customHeight="1">
      <c r="A15" s="109" t="s">
        <v>63</v>
      </c>
      <c r="B15" s="95">
        <v>200.0</v>
      </c>
      <c r="C15" s="97" t="str">
        <f>IFERROR(VLOOKUP(A15,Datos!$B$3:$C$52,2,FALSE),"")</f>
        <v/>
      </c>
      <c r="D15" s="110">
        <f t="shared" ref="D15:D16" si="3">(C15/1000)*B15</f>
        <v>0</v>
      </c>
      <c r="E15" s="99">
        <f t="shared" si="2"/>
        <v>200</v>
      </c>
      <c r="F15" s="108" t="b">
        <v>0</v>
      </c>
    </row>
    <row r="16" ht="18.75" customHeight="1">
      <c r="A16" s="109" t="s">
        <v>64</v>
      </c>
      <c r="B16" s="95">
        <v>1.5</v>
      </c>
      <c r="C16" s="97">
        <f>IFERROR(VLOOKUP(A16,Datos!$B$3:$C$52,2,FALSE),"")</f>
        <v>38</v>
      </c>
      <c r="D16" s="110">
        <f t="shared" si="3"/>
        <v>0.057</v>
      </c>
      <c r="E16" s="99">
        <f t="shared" si="2"/>
        <v>1.5</v>
      </c>
      <c r="F16" s="108" t="b">
        <v>0</v>
      </c>
    </row>
    <row r="17" ht="18.75" customHeight="1">
      <c r="A17" s="111" t="s">
        <v>65</v>
      </c>
      <c r="B17" s="112">
        <f>SUM(B11:B16)</f>
        <v>716.5</v>
      </c>
      <c r="C17" s="112"/>
      <c r="D17" s="112">
        <f>SUM(D11:D16)</f>
        <v>0.057</v>
      </c>
      <c r="E17" s="112"/>
      <c r="F17" s="113"/>
    </row>
    <row r="18" ht="18.75" customHeight="1">
      <c r="A18" s="111" t="s">
        <v>66</v>
      </c>
      <c r="B18" s="114"/>
      <c r="C18" s="112"/>
      <c r="D18" s="112"/>
      <c r="E18" s="112"/>
      <c r="F18" s="113"/>
    </row>
    <row r="19" ht="18.75" customHeight="1">
      <c r="A19" s="115" t="s">
        <v>67</v>
      </c>
      <c r="B19" s="116"/>
      <c r="C19" s="117"/>
      <c r="D19" s="99">
        <f>(C19/1000)*B19</f>
        <v>0</v>
      </c>
      <c r="E19" s="118">
        <f>B19*$E$5</f>
        <v>0</v>
      </c>
      <c r="F19" s="118" t="b">
        <v>0</v>
      </c>
    </row>
    <row r="20" ht="18.75" customHeight="1">
      <c r="A20" s="119"/>
      <c r="B20" s="120"/>
      <c r="C20" s="118"/>
      <c r="D20" s="118"/>
      <c r="E20" s="118">
        <f>(B20/25000)*$E$5</f>
        <v>0</v>
      </c>
      <c r="F20" s="118" t="b">
        <v>0</v>
      </c>
    </row>
    <row r="21" ht="18.75" customHeight="1">
      <c r="A21" s="119"/>
      <c r="B21" s="120"/>
      <c r="C21" s="121"/>
      <c r="D21" s="121"/>
      <c r="E21" s="121"/>
      <c r="F21" s="122" t="b">
        <v>0</v>
      </c>
    </row>
    <row r="22" ht="18.75" customHeight="1">
      <c r="A22" s="123" t="s">
        <v>70</v>
      </c>
      <c r="B22" s="124">
        <f>SUM(B19:B21)</f>
        <v>0</v>
      </c>
      <c r="C22" s="80"/>
      <c r="D22" s="112">
        <f>SUM(D19:D21)</f>
        <v>0</v>
      </c>
      <c r="E22" s="80"/>
      <c r="F22" s="126"/>
    </row>
    <row r="23">
      <c r="A23" s="127"/>
      <c r="B23" s="81"/>
      <c r="C23" s="80"/>
      <c r="D23" s="80"/>
      <c r="E23" s="80">
        <f>SUM(E5:E21)</f>
        <v>156016.5</v>
      </c>
      <c r="F23" s="126"/>
    </row>
    <row r="24">
      <c r="A24" s="127"/>
      <c r="B24" s="81"/>
      <c r="C24" s="80"/>
      <c r="D24" s="80"/>
      <c r="E24" s="80"/>
      <c r="F24" s="80"/>
    </row>
    <row r="25">
      <c r="A25" s="127"/>
      <c r="B25" s="81"/>
      <c r="C25" s="80"/>
      <c r="D25" s="80"/>
      <c r="E25" s="80"/>
      <c r="F25" s="80"/>
    </row>
  </sheetData>
  <dataValidations>
    <dataValidation type="list" allowBlank="1" showErrorMessage="1" sqref="A5:A8 A11:A16 A19:A21">
      <formula1>Datos!$B$3:$B$52</formula1>
    </dataValidation>
    <dataValidation type="custom" allowBlank="1" showDropDown="1" sqref="B2">
      <formula1>OR(NOT(ISERROR(DATEVALUE(B2))), AND(ISNUMBER(B2), LEFT(CELL("format", B2))="D"))</formula1>
    </dataValidation>
  </dataValidations>
  <printOptions/>
  <pageMargins bottom="0.42" footer="0.0" header="0.0" left="0.15748031496062992" right="0.15748031496062992" top="0.44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86"/>
    <col customWidth="1" min="2" max="2" width="18.71"/>
    <col customWidth="1" min="3" max="4" width="14.43"/>
    <col customWidth="1" min="5" max="5" width="18.71"/>
    <col customWidth="1" min="6" max="6" width="7.29"/>
  </cols>
  <sheetData>
    <row r="1" ht="18.75" customHeight="1">
      <c r="A1" s="33" t="s">
        <v>10</v>
      </c>
      <c r="B1" s="35"/>
      <c r="C1" s="37"/>
      <c r="D1" s="37"/>
      <c r="E1" s="37">
        <v>1.0</v>
      </c>
    </row>
    <row r="2" ht="18.75" customHeight="1">
      <c r="A2" s="6" t="s">
        <v>1</v>
      </c>
      <c r="B2" s="40"/>
      <c r="C2" s="21"/>
      <c r="D2" s="2"/>
      <c r="E2" s="2"/>
    </row>
    <row r="3" ht="18.75" customHeight="1">
      <c r="A3" s="14"/>
      <c r="B3" s="2"/>
      <c r="C3" s="21"/>
      <c r="D3" s="2"/>
      <c r="E3" s="2"/>
    </row>
    <row r="4" ht="18.75" customHeight="1">
      <c r="A4" s="44" t="s">
        <v>39</v>
      </c>
      <c r="B4" s="46" t="s">
        <v>19</v>
      </c>
      <c r="C4" s="47"/>
      <c r="D4" s="49"/>
      <c r="E4" s="49" t="s">
        <v>41</v>
      </c>
      <c r="F4" s="51"/>
    </row>
    <row r="5" ht="18.75" customHeight="1">
      <c r="A5" s="60" t="s">
        <v>43</v>
      </c>
      <c r="B5" s="62">
        <v>1.0</v>
      </c>
      <c r="C5" s="63"/>
      <c r="D5" s="63"/>
      <c r="E5" s="63">
        <v>100000.0</v>
      </c>
      <c r="F5" s="63" t="b">
        <v>0</v>
      </c>
    </row>
    <row r="6" ht="18.75" customHeight="1">
      <c r="A6" s="60" t="s">
        <v>45</v>
      </c>
      <c r="B6" s="68">
        <v>0.018</v>
      </c>
      <c r="C6" s="70"/>
      <c r="D6" s="70"/>
      <c r="E6" s="70">
        <f t="shared" ref="E6:E8" si="1">$E$5*B6</f>
        <v>1800</v>
      </c>
      <c r="F6" s="70" t="b">
        <v>0</v>
      </c>
    </row>
    <row r="7" ht="18.75" customHeight="1">
      <c r="A7" s="60" t="s">
        <v>49</v>
      </c>
      <c r="B7" s="68">
        <v>0.025</v>
      </c>
      <c r="C7" s="70"/>
      <c r="D7" s="70"/>
      <c r="E7" s="70">
        <f t="shared" si="1"/>
        <v>2500</v>
      </c>
      <c r="F7" s="70" t="b">
        <v>0</v>
      </c>
    </row>
    <row r="8" ht="18.75" customHeight="1">
      <c r="A8" s="60" t="s">
        <v>2</v>
      </c>
      <c r="B8" s="68">
        <v>0.54</v>
      </c>
      <c r="C8" s="70"/>
      <c r="D8" s="70"/>
      <c r="E8" s="70">
        <f t="shared" si="1"/>
        <v>54000</v>
      </c>
      <c r="F8" s="70" t="b">
        <v>0</v>
      </c>
    </row>
    <row r="9" ht="18.75" customHeight="1">
      <c r="A9" s="85"/>
      <c r="B9" s="35" t="s">
        <v>68</v>
      </c>
      <c r="C9" s="2"/>
      <c r="D9" s="2"/>
      <c r="E9" s="2"/>
      <c r="F9" s="87"/>
    </row>
    <row r="10" ht="18.75" customHeight="1">
      <c r="A10" s="89" t="s">
        <v>52</v>
      </c>
      <c r="B10" s="35" t="s">
        <v>69</v>
      </c>
      <c r="C10" s="35"/>
      <c r="D10" s="35"/>
      <c r="E10" s="2"/>
      <c r="F10" s="87"/>
    </row>
    <row r="11" ht="18.75" customHeight="1">
      <c r="A11" s="93" t="s">
        <v>54</v>
      </c>
      <c r="B11" s="95">
        <v>0.5</v>
      </c>
      <c r="C11" s="125" t="str">
        <f>IFERROR(VLOOKUP(A11,Datos!$B$3:$C$52,2,FALSE),"")</f>
        <v/>
      </c>
      <c r="D11" s="99">
        <f t="shared" ref="D11:D16" si="2">(C11/1000)*B11</f>
        <v>0</v>
      </c>
      <c r="E11" s="128">
        <f t="shared" ref="E11:E16" si="3">(B11/$E$5)*$E$5</f>
        <v>0.5</v>
      </c>
      <c r="F11" s="104" t="b">
        <v>0</v>
      </c>
    </row>
    <row r="12" ht="18.75" customHeight="1">
      <c r="A12" s="93" t="s">
        <v>59</v>
      </c>
      <c r="B12" s="95">
        <v>260.0</v>
      </c>
      <c r="C12" s="125" t="str">
        <f>IFERROR(VLOOKUP(A12,Datos!$B$3:$C$52,2,FALSE),"")</f>
        <v/>
      </c>
      <c r="D12" s="99">
        <f t="shared" si="2"/>
        <v>0</v>
      </c>
      <c r="E12" s="128">
        <f t="shared" si="3"/>
        <v>260</v>
      </c>
      <c r="F12" s="108" t="b">
        <v>0</v>
      </c>
    </row>
    <row r="13" ht="18.75" customHeight="1">
      <c r="A13" s="93" t="s">
        <v>61</v>
      </c>
      <c r="B13" s="95">
        <v>200.0</v>
      </c>
      <c r="C13" s="125" t="str">
        <f>IFERROR(VLOOKUP(A13,Datos!$B$3:$C$52,2,FALSE),"")</f>
        <v/>
      </c>
      <c r="D13" s="99">
        <f t="shared" si="2"/>
        <v>0</v>
      </c>
      <c r="E13" s="128">
        <f t="shared" si="3"/>
        <v>200</v>
      </c>
      <c r="F13" s="108" t="b">
        <v>0</v>
      </c>
    </row>
    <row r="14" ht="18.75" customHeight="1">
      <c r="A14" s="109" t="s">
        <v>62</v>
      </c>
      <c r="B14" s="95">
        <v>15.0</v>
      </c>
      <c r="C14" s="125" t="str">
        <f>IFERROR(VLOOKUP(A14,Datos!$B$3:$C$52,2,FALSE),"")</f>
        <v/>
      </c>
      <c r="D14" s="99">
        <f t="shared" si="2"/>
        <v>0</v>
      </c>
      <c r="E14" s="128">
        <f t="shared" si="3"/>
        <v>15</v>
      </c>
      <c r="F14" s="108" t="b">
        <v>0</v>
      </c>
    </row>
    <row r="15" ht="18.75" customHeight="1">
      <c r="A15" s="109" t="s">
        <v>63</v>
      </c>
      <c r="B15" s="95">
        <v>0.0</v>
      </c>
      <c r="C15" s="125" t="str">
        <f>IFERROR(VLOOKUP(A15,Datos!$B$3:$C$52,2,FALSE),"")</f>
        <v/>
      </c>
      <c r="D15" s="99">
        <f t="shared" si="2"/>
        <v>0</v>
      </c>
      <c r="E15" s="128">
        <f t="shared" si="3"/>
        <v>0</v>
      </c>
      <c r="F15" s="108" t="b">
        <v>0</v>
      </c>
    </row>
    <row r="16" ht="18.75" customHeight="1">
      <c r="A16" s="109" t="s">
        <v>64</v>
      </c>
      <c r="B16" s="95">
        <v>1.5</v>
      </c>
      <c r="C16" s="125">
        <f>IFERROR(VLOOKUP(A16,Datos!$B$3:$C$52,2,FALSE),"")</f>
        <v>38</v>
      </c>
      <c r="D16" s="110">
        <f t="shared" si="2"/>
        <v>0.057</v>
      </c>
      <c r="E16" s="128">
        <f t="shared" si="3"/>
        <v>1.5</v>
      </c>
      <c r="F16" s="108" t="b">
        <v>0</v>
      </c>
    </row>
    <row r="17" ht="18.75" customHeight="1">
      <c r="A17" s="111" t="s">
        <v>65</v>
      </c>
      <c r="B17" s="112">
        <f>SUM(B11:B16)</f>
        <v>477</v>
      </c>
      <c r="C17" s="112"/>
      <c r="D17" s="112">
        <f>SUM(D11:D16)</f>
        <v>0.057</v>
      </c>
      <c r="E17" s="112"/>
      <c r="F17" s="113"/>
    </row>
    <row r="18" ht="18.75" customHeight="1">
      <c r="A18" s="111" t="s">
        <v>66</v>
      </c>
      <c r="B18" s="114"/>
      <c r="C18" s="112"/>
      <c r="D18" s="112"/>
      <c r="E18" s="112"/>
      <c r="F18" s="113"/>
    </row>
    <row r="19" ht="18.75" customHeight="1">
      <c r="A19" s="115"/>
      <c r="B19" s="129"/>
      <c r="C19" s="125" t="str">
        <f>IFERROR(VLOOKUP(A19,Datos!$B$3:$C$52,2,FALSE),"")</f>
        <v/>
      </c>
      <c r="D19" s="99">
        <f>(C19/1000)*B19</f>
        <v>0</v>
      </c>
      <c r="E19" s="118">
        <f t="shared" ref="E19:E20" si="4">(B19/25000)*$E$5</f>
        <v>0</v>
      </c>
      <c r="F19" s="118" t="b">
        <v>0</v>
      </c>
    </row>
    <row r="20" ht="18.75" customHeight="1">
      <c r="A20" s="119"/>
      <c r="B20" s="130"/>
      <c r="C20" s="118"/>
      <c r="D20" s="118"/>
      <c r="E20" s="118">
        <f t="shared" si="4"/>
        <v>0</v>
      </c>
      <c r="F20" s="118" t="b">
        <v>0</v>
      </c>
    </row>
    <row r="21" ht="18.75" customHeight="1">
      <c r="A21" s="119"/>
      <c r="B21" s="130"/>
      <c r="C21" s="121"/>
      <c r="D21" s="121"/>
      <c r="E21" s="121"/>
      <c r="F21" s="122" t="b">
        <v>0</v>
      </c>
    </row>
    <row r="22" ht="18.75" customHeight="1">
      <c r="A22" s="123" t="s">
        <v>70</v>
      </c>
      <c r="B22" s="131">
        <f>SUM(B19:B21)</f>
        <v>0</v>
      </c>
      <c r="C22" s="80"/>
      <c r="D22" s="112">
        <f>SUM(D19:D21)</f>
        <v>0</v>
      </c>
      <c r="E22" s="80"/>
      <c r="F22" s="126"/>
    </row>
    <row r="23">
      <c r="A23" s="127"/>
      <c r="B23" s="81"/>
      <c r="C23" s="80"/>
      <c r="D23" s="80"/>
      <c r="E23" s="80">
        <f>SUM(E5:E21)</f>
        <v>158777</v>
      </c>
      <c r="F23" s="126"/>
    </row>
    <row r="24">
      <c r="A24" s="127"/>
      <c r="B24" s="81"/>
      <c r="C24" s="80"/>
      <c r="D24" s="80"/>
      <c r="E24" s="80"/>
      <c r="F24" s="80"/>
    </row>
    <row r="25">
      <c r="A25" s="127"/>
      <c r="B25" s="81"/>
      <c r="C25" s="80"/>
      <c r="D25" s="80"/>
      <c r="E25" s="80"/>
      <c r="F25" s="80"/>
    </row>
  </sheetData>
  <dataValidations>
    <dataValidation type="list" allowBlank="1" showErrorMessage="1" sqref="A5:A8 A11:A16 A19:A21">
      <formula1>Datos!$B$3:$B$52</formula1>
    </dataValidation>
    <dataValidation type="custom" allowBlank="1" showDropDown="1" sqref="B2">
      <formula1>OR(NOT(ISERROR(DATEVALUE(B2))), AND(ISNUMBER(B2), LEFT(CELL("format", B2))="D"))</formula1>
    </dataValidation>
  </dataValidations>
  <printOptions/>
  <pageMargins bottom="0.42" footer="0.0" header="0.0" left="0.15748031496062992" right="0.15748031496062992" top="0.44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86"/>
    <col customWidth="1" min="2" max="2" width="18.71"/>
    <col customWidth="1" min="3" max="4" width="14.43"/>
    <col customWidth="1" min="5" max="5" width="18.71"/>
    <col customWidth="1" min="6" max="6" width="7.29"/>
  </cols>
  <sheetData>
    <row r="1" ht="18.75" customHeight="1">
      <c r="A1" s="33" t="s">
        <v>10</v>
      </c>
      <c r="B1" s="35" t="s">
        <v>71</v>
      </c>
      <c r="C1" s="37"/>
      <c r="D1" s="37"/>
      <c r="E1" s="37">
        <v>2.0</v>
      </c>
    </row>
    <row r="2" ht="18.75" customHeight="1">
      <c r="A2" s="6" t="s">
        <v>1</v>
      </c>
      <c r="B2" s="40"/>
      <c r="C2" s="21"/>
      <c r="D2" s="2"/>
      <c r="E2" s="2"/>
    </row>
    <row r="3" ht="18.75" customHeight="1">
      <c r="A3" s="14"/>
      <c r="B3" s="2"/>
      <c r="C3" s="21"/>
      <c r="D3" s="2"/>
      <c r="E3" s="2"/>
    </row>
    <row r="4" ht="18.75" customHeight="1">
      <c r="A4" s="44" t="s">
        <v>39</v>
      </c>
      <c r="B4" s="46" t="s">
        <v>19</v>
      </c>
      <c r="C4" s="47"/>
      <c r="D4" s="49"/>
      <c r="E4" s="49" t="s">
        <v>41</v>
      </c>
      <c r="F4" s="51"/>
    </row>
    <row r="5" ht="18.75" customHeight="1">
      <c r="A5" s="60" t="s">
        <v>43</v>
      </c>
      <c r="B5" s="62">
        <v>1.0</v>
      </c>
      <c r="C5" s="63"/>
      <c r="D5" s="63"/>
      <c r="E5" s="63">
        <v>100000.0</v>
      </c>
      <c r="F5" s="63" t="b">
        <v>0</v>
      </c>
    </row>
    <row r="6" ht="18.75" customHeight="1">
      <c r="A6" s="60" t="s">
        <v>45</v>
      </c>
      <c r="B6" s="68">
        <v>0.018</v>
      </c>
      <c r="C6" s="70"/>
      <c r="D6" s="70"/>
      <c r="E6" s="70">
        <f t="shared" ref="E6:E8" si="1">$E$5*B6</f>
        <v>1800</v>
      </c>
      <c r="F6" s="70" t="b">
        <v>0</v>
      </c>
    </row>
    <row r="7" ht="18.75" customHeight="1">
      <c r="A7" s="60" t="s">
        <v>49</v>
      </c>
      <c r="B7" s="68">
        <v>0.025</v>
      </c>
      <c r="C7" s="70"/>
      <c r="D7" s="70"/>
      <c r="E7" s="70">
        <f t="shared" si="1"/>
        <v>2500</v>
      </c>
      <c r="F7" s="70" t="b">
        <v>0</v>
      </c>
    </row>
    <row r="8" ht="18.75" customHeight="1">
      <c r="A8" s="60" t="s">
        <v>2</v>
      </c>
      <c r="B8" s="68">
        <v>0.54</v>
      </c>
      <c r="C8" s="70"/>
      <c r="D8" s="70"/>
      <c r="E8" s="70">
        <f t="shared" si="1"/>
        <v>54000</v>
      </c>
      <c r="F8" s="70" t="b">
        <v>0</v>
      </c>
    </row>
    <row r="9" ht="18.75" customHeight="1">
      <c r="A9" s="85"/>
      <c r="B9" s="2"/>
      <c r="C9" s="2"/>
      <c r="D9" s="2"/>
      <c r="E9" s="2"/>
      <c r="F9" s="87"/>
    </row>
    <row r="10" ht="18.75" customHeight="1">
      <c r="A10" s="89" t="s">
        <v>52</v>
      </c>
      <c r="B10" s="35" t="s">
        <v>72</v>
      </c>
      <c r="C10" s="35" t="s">
        <v>73</v>
      </c>
      <c r="D10" s="35" t="s">
        <v>74</v>
      </c>
      <c r="E10" s="2"/>
      <c r="F10" s="87"/>
    </row>
    <row r="11" ht="18.75" customHeight="1">
      <c r="A11" s="93" t="s">
        <v>75</v>
      </c>
      <c r="B11" s="95">
        <v>200.0</v>
      </c>
      <c r="C11" s="132" t="str">
        <f>IFERROR(VLOOKUP(A11,Datos!$B$3:$C$52,2,FALSE),"")</f>
        <v/>
      </c>
      <c r="D11" s="99">
        <f t="shared" ref="D11:D16" si="2">(C11/1000)*B11</f>
        <v>0</v>
      </c>
      <c r="E11" s="99">
        <f t="shared" ref="E11:E16" si="3">(B11/$E$5)*$E$5</f>
        <v>200</v>
      </c>
      <c r="F11" s="104" t="b">
        <v>0</v>
      </c>
    </row>
    <row r="12" ht="18.75" customHeight="1">
      <c r="A12" s="93"/>
      <c r="B12" s="95"/>
      <c r="C12" s="132" t="str">
        <f>IFERROR(VLOOKUP(A12,Datos!$B$3:$C$52,2,FALSE),"")</f>
        <v/>
      </c>
      <c r="D12" s="99">
        <f t="shared" si="2"/>
        <v>0</v>
      </c>
      <c r="E12" s="99">
        <f t="shared" si="3"/>
        <v>0</v>
      </c>
      <c r="F12" s="108" t="b">
        <v>0</v>
      </c>
    </row>
    <row r="13" ht="18.75" customHeight="1">
      <c r="A13" s="109" t="s">
        <v>62</v>
      </c>
      <c r="B13" s="95">
        <v>12.0</v>
      </c>
      <c r="C13" s="132" t="str">
        <f>IFERROR(VLOOKUP(A13,Datos!$B$3:$C$52,2,FALSE),"")</f>
        <v/>
      </c>
      <c r="D13" s="99">
        <f t="shared" si="2"/>
        <v>0</v>
      </c>
      <c r="E13" s="99">
        <f t="shared" si="3"/>
        <v>12</v>
      </c>
      <c r="F13" s="108" t="b">
        <v>0</v>
      </c>
    </row>
    <row r="14" ht="18.75" customHeight="1">
      <c r="A14" s="109" t="s">
        <v>64</v>
      </c>
      <c r="B14" s="95">
        <v>2.0</v>
      </c>
      <c r="C14" s="132">
        <f>IFERROR(VLOOKUP(A14,Datos!$B$3:$C$52,2,FALSE),"")</f>
        <v>38</v>
      </c>
      <c r="D14" s="99">
        <f t="shared" si="2"/>
        <v>0.076</v>
      </c>
      <c r="E14" s="99">
        <f t="shared" si="3"/>
        <v>2</v>
      </c>
      <c r="F14" s="108" t="b">
        <v>0</v>
      </c>
    </row>
    <row r="15" ht="18.75" customHeight="1">
      <c r="A15" s="109"/>
      <c r="B15" s="95"/>
      <c r="C15" s="132" t="str">
        <f>IFERROR(VLOOKUP(A15,Datos!$B$3:$C$52,2,FALSE),"")</f>
        <v/>
      </c>
      <c r="D15" s="99">
        <f t="shared" si="2"/>
        <v>0</v>
      </c>
      <c r="E15" s="99">
        <f t="shared" si="3"/>
        <v>0</v>
      </c>
      <c r="F15" s="108" t="b">
        <v>0</v>
      </c>
    </row>
    <row r="16" ht="18.75" customHeight="1">
      <c r="A16" s="134"/>
      <c r="B16" s="135"/>
      <c r="C16" s="132" t="str">
        <f>IFERROR(VLOOKUP(A16,Datos!$B$3:$C$52,2,FALSE),"")</f>
        <v/>
      </c>
      <c r="D16" s="99">
        <f t="shared" si="2"/>
        <v>0</v>
      </c>
      <c r="E16" s="99">
        <f t="shared" si="3"/>
        <v>0</v>
      </c>
      <c r="F16" s="108" t="b">
        <v>0</v>
      </c>
    </row>
    <row r="17" ht="18.75" customHeight="1">
      <c r="A17" s="111" t="s">
        <v>65</v>
      </c>
      <c r="B17" s="112">
        <f>SUM(B11:B16)</f>
        <v>214</v>
      </c>
      <c r="C17" s="112"/>
      <c r="D17" s="112">
        <f>SUM(D11:D16)</f>
        <v>0.076</v>
      </c>
      <c r="E17" s="112"/>
      <c r="F17" s="113"/>
    </row>
    <row r="18" ht="18.75" customHeight="1">
      <c r="A18" s="111" t="s">
        <v>66</v>
      </c>
      <c r="B18" s="114"/>
      <c r="C18" s="112"/>
      <c r="D18" s="112"/>
      <c r="E18" s="112"/>
      <c r="F18" s="113"/>
    </row>
    <row r="19" ht="18.75" customHeight="1">
      <c r="A19" s="115"/>
      <c r="B19" s="129"/>
      <c r="C19" s="117"/>
      <c r="D19" s="99">
        <f>(C19/1000)*B19</f>
        <v>0</v>
      </c>
      <c r="E19" s="118">
        <f t="shared" ref="E19:E20" si="4">(B19/25000)*$E$5</f>
        <v>0</v>
      </c>
      <c r="F19" s="118" t="b">
        <v>0</v>
      </c>
    </row>
    <row r="20" ht="18.75" customHeight="1">
      <c r="A20" s="119"/>
      <c r="B20" s="130"/>
      <c r="C20" s="118"/>
      <c r="D20" s="118"/>
      <c r="E20" s="118">
        <f t="shared" si="4"/>
        <v>0</v>
      </c>
      <c r="F20" s="118" t="b">
        <v>0</v>
      </c>
    </row>
    <row r="21" ht="18.75" customHeight="1">
      <c r="A21" s="119"/>
      <c r="B21" s="130"/>
      <c r="C21" s="121"/>
      <c r="D21" s="121"/>
      <c r="E21" s="121"/>
      <c r="F21" s="122" t="b">
        <v>0</v>
      </c>
    </row>
    <row r="22" ht="18.75" customHeight="1">
      <c r="A22" s="123" t="s">
        <v>70</v>
      </c>
      <c r="B22" s="131">
        <f>SUM(B19:B21)</f>
        <v>0</v>
      </c>
      <c r="C22" s="80"/>
      <c r="D22" s="112">
        <f>SUM(D19:D21)</f>
        <v>0</v>
      </c>
      <c r="E22" s="80"/>
      <c r="F22" s="126"/>
    </row>
    <row r="23">
      <c r="A23" s="127"/>
      <c r="B23" s="81"/>
      <c r="C23" s="80"/>
      <c r="D23" s="80"/>
      <c r="E23" s="80"/>
      <c r="F23" s="126"/>
    </row>
    <row r="24">
      <c r="A24" s="127"/>
      <c r="B24" s="81"/>
      <c r="C24" s="80"/>
      <c r="D24" s="80"/>
      <c r="E24" s="80"/>
      <c r="F24" s="80"/>
    </row>
    <row r="25">
      <c r="A25" s="127"/>
      <c r="B25" s="81"/>
      <c r="C25" s="80"/>
      <c r="D25" s="80"/>
      <c r="E25" s="80"/>
      <c r="F25" s="80"/>
    </row>
  </sheetData>
  <dataValidations>
    <dataValidation type="list" allowBlank="1" showErrorMessage="1" sqref="A5:A8 A11:A16 A19:A21">
      <formula1>Datos!$B$3:$B$52</formula1>
    </dataValidation>
    <dataValidation type="custom" allowBlank="1" showDropDown="1" sqref="B2">
      <formula1>OR(NOT(ISERROR(DATEVALUE(B2))), AND(ISNUMBER(B2), LEFT(CELL("format", B2))="D"))</formula1>
    </dataValidation>
  </dataValidations>
  <printOptions/>
  <pageMargins bottom="0.42" footer="0.0" header="0.0" left="0.15748031496062992" right="0.15748031496062992" top="0.44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86"/>
    <col customWidth="1" min="2" max="2" width="18.71"/>
    <col customWidth="1" min="3" max="4" width="14.43"/>
    <col customWidth="1" min="5" max="5" width="18.71"/>
    <col customWidth="1" min="6" max="6" width="7.29"/>
  </cols>
  <sheetData>
    <row r="1" ht="18.75" customHeight="1">
      <c r="A1" s="33" t="s">
        <v>10</v>
      </c>
      <c r="B1" s="35" t="s">
        <v>71</v>
      </c>
      <c r="C1" s="37"/>
      <c r="D1" s="37"/>
      <c r="E1" s="37">
        <v>1.0</v>
      </c>
    </row>
    <row r="2" ht="18.75" customHeight="1">
      <c r="A2" s="6" t="s">
        <v>1</v>
      </c>
      <c r="B2" s="40"/>
      <c r="C2" s="21"/>
      <c r="D2" s="2"/>
      <c r="E2" s="2"/>
    </row>
    <row r="3" ht="18.75" customHeight="1">
      <c r="A3" s="14"/>
      <c r="B3" s="2"/>
      <c r="C3" s="21"/>
      <c r="D3" s="2"/>
      <c r="E3" s="2"/>
    </row>
    <row r="4" ht="18.75" customHeight="1">
      <c r="A4" s="44" t="s">
        <v>39</v>
      </c>
      <c r="B4" s="46" t="s">
        <v>19</v>
      </c>
      <c r="C4" s="47"/>
      <c r="D4" s="49"/>
      <c r="E4" s="49" t="s">
        <v>41</v>
      </c>
      <c r="F4" s="51"/>
    </row>
    <row r="5" ht="18.75" customHeight="1">
      <c r="A5" s="60" t="s">
        <v>76</v>
      </c>
      <c r="B5" s="68">
        <v>1.0</v>
      </c>
      <c r="C5" s="63"/>
      <c r="D5" s="63"/>
      <c r="E5" s="133">
        <v>1000.0</v>
      </c>
      <c r="F5" s="63" t="b">
        <v>0</v>
      </c>
    </row>
    <row r="6" ht="18.75" customHeight="1">
      <c r="A6" s="60" t="s">
        <v>45</v>
      </c>
      <c r="B6" s="68">
        <v>0.02</v>
      </c>
      <c r="C6" s="70"/>
      <c r="D6" s="70"/>
      <c r="E6" s="70">
        <f t="shared" ref="E6:E8" si="1">$E$5*B6</f>
        <v>20</v>
      </c>
      <c r="F6" s="70" t="b">
        <v>0</v>
      </c>
    </row>
    <row r="7" ht="18.75" customHeight="1">
      <c r="A7" s="60" t="s">
        <v>49</v>
      </c>
      <c r="B7" s="68">
        <v>0.025</v>
      </c>
      <c r="C7" s="70"/>
      <c r="D7" s="70"/>
      <c r="E7" s="70">
        <f t="shared" si="1"/>
        <v>25</v>
      </c>
      <c r="F7" s="70" t="b">
        <v>0</v>
      </c>
    </row>
    <row r="8" ht="18.75" customHeight="1">
      <c r="A8" s="60" t="s">
        <v>2</v>
      </c>
      <c r="B8" s="68">
        <v>0.54</v>
      </c>
      <c r="C8" s="70"/>
      <c r="D8" s="70"/>
      <c r="E8" s="70">
        <f t="shared" si="1"/>
        <v>540</v>
      </c>
      <c r="F8" s="70" t="b">
        <v>0</v>
      </c>
    </row>
    <row r="9" ht="18.75" customHeight="1">
      <c r="A9" s="85"/>
      <c r="B9" s="2"/>
      <c r="C9" s="2"/>
      <c r="D9" s="2"/>
      <c r="E9" s="2"/>
      <c r="F9" s="87"/>
    </row>
    <row r="10" ht="18.75" customHeight="1">
      <c r="A10" s="89" t="s">
        <v>52</v>
      </c>
      <c r="B10" s="35" t="s">
        <v>72</v>
      </c>
      <c r="C10" s="35" t="s">
        <v>73</v>
      </c>
      <c r="D10" s="35" t="s">
        <v>74</v>
      </c>
      <c r="E10" s="2"/>
      <c r="F10" s="87"/>
    </row>
    <row r="11" ht="18.75" customHeight="1">
      <c r="A11" s="93" t="s">
        <v>79</v>
      </c>
      <c r="B11" s="95"/>
      <c r="C11" s="97">
        <f>IFERROR(VLOOKUP(A11,Datos!$B$3:$C$52,2,FALSE),"")</f>
        <v>6.3</v>
      </c>
      <c r="D11" s="99">
        <f t="shared" ref="D11:D16" si="2">(C11/1000)*B11</f>
        <v>0</v>
      </c>
      <c r="E11" s="99">
        <f t="shared" ref="E11:E16" si="3">(B11/25000)*$E$5</f>
        <v>0</v>
      </c>
      <c r="F11" s="104" t="b">
        <v>0</v>
      </c>
    </row>
    <row r="12" ht="18.75" customHeight="1">
      <c r="A12" s="93" t="s">
        <v>99</v>
      </c>
      <c r="B12" s="95"/>
      <c r="C12" s="97">
        <f>IFERROR(VLOOKUP(A12,Datos!$B$3:$C$52,2,FALSE),"")</f>
        <v>35.3</v>
      </c>
      <c r="D12" s="99">
        <f t="shared" si="2"/>
        <v>0</v>
      </c>
      <c r="E12" s="99">
        <f t="shared" si="3"/>
        <v>0</v>
      </c>
      <c r="F12" s="108" t="b">
        <v>0</v>
      </c>
    </row>
    <row r="13" ht="18.75" customHeight="1">
      <c r="A13" s="93" t="s">
        <v>111</v>
      </c>
      <c r="B13" s="95"/>
      <c r="C13" s="97">
        <f>IFERROR(VLOOKUP(A13,Datos!$B$3:$C$52,2,FALSE),"")</f>
        <v>38.4</v>
      </c>
      <c r="D13" s="99">
        <f t="shared" si="2"/>
        <v>0</v>
      </c>
      <c r="E13" s="99">
        <f t="shared" si="3"/>
        <v>0</v>
      </c>
      <c r="F13" s="108" t="b">
        <v>0</v>
      </c>
    </row>
    <row r="14" ht="18.75" customHeight="1">
      <c r="A14" s="109" t="s">
        <v>64</v>
      </c>
      <c r="B14" s="95"/>
      <c r="C14" s="97">
        <f>IFERROR(VLOOKUP(A14,Datos!$B$3:$C$52,2,FALSE),"")</f>
        <v>38</v>
      </c>
      <c r="D14" s="110">
        <f t="shared" si="2"/>
        <v>0</v>
      </c>
      <c r="E14" s="110">
        <f t="shared" si="3"/>
        <v>0</v>
      </c>
      <c r="F14" s="108" t="b">
        <v>0</v>
      </c>
    </row>
    <row r="15" ht="18.75" customHeight="1">
      <c r="A15" s="109"/>
      <c r="B15" s="95"/>
      <c r="C15" s="97" t="str">
        <f>IFERROR(VLOOKUP(A15,Datos!$B$3:$C$52,2,FALSE),"")</f>
        <v/>
      </c>
      <c r="D15" s="110">
        <f t="shared" si="2"/>
        <v>0</v>
      </c>
      <c r="E15" s="110">
        <f t="shared" si="3"/>
        <v>0</v>
      </c>
      <c r="F15" s="108" t="b">
        <v>0</v>
      </c>
    </row>
    <row r="16" ht="18.75" customHeight="1">
      <c r="A16" s="134"/>
      <c r="B16" s="135"/>
      <c r="C16" s="97" t="str">
        <f>IFERROR(VLOOKUP(A16,Datos!$B$3:$C$52,2,FALSE),"")</f>
        <v/>
      </c>
      <c r="D16" s="110">
        <f t="shared" si="2"/>
        <v>0</v>
      </c>
      <c r="E16" s="110">
        <f t="shared" si="3"/>
        <v>0</v>
      </c>
      <c r="F16" s="108" t="b">
        <v>0</v>
      </c>
    </row>
    <row r="17" ht="18.75" customHeight="1">
      <c r="A17" s="111" t="s">
        <v>65</v>
      </c>
      <c r="B17" s="112">
        <f>SUM(B11:B16)</f>
        <v>0</v>
      </c>
      <c r="C17" s="112"/>
      <c r="D17" s="112">
        <f>SUM(D11:D16)</f>
        <v>0</v>
      </c>
      <c r="E17" s="112"/>
      <c r="F17" s="113"/>
    </row>
    <row r="18" ht="18.75" customHeight="1">
      <c r="A18" s="111" t="s">
        <v>66</v>
      </c>
      <c r="B18" s="114"/>
      <c r="C18" s="112"/>
      <c r="D18" s="112"/>
      <c r="E18" s="112"/>
      <c r="F18" s="113"/>
    </row>
    <row r="19" ht="18.75" customHeight="1">
      <c r="A19" s="115"/>
      <c r="B19" s="129"/>
      <c r="C19" s="117"/>
      <c r="D19" s="99">
        <f>(C19/1000)*B19</f>
        <v>0</v>
      </c>
      <c r="E19" s="118">
        <f t="shared" ref="E19:E20" si="4">(B19/25000)*$E$5</f>
        <v>0</v>
      </c>
      <c r="F19" s="118" t="b">
        <v>0</v>
      </c>
    </row>
    <row r="20" ht="18.75" customHeight="1">
      <c r="A20" s="119"/>
      <c r="B20" s="130"/>
      <c r="C20" s="118"/>
      <c r="D20" s="118"/>
      <c r="E20" s="118">
        <f t="shared" si="4"/>
        <v>0</v>
      </c>
      <c r="F20" s="118" t="b">
        <v>0</v>
      </c>
    </row>
    <row r="21" ht="18.75" customHeight="1">
      <c r="A21" s="119"/>
      <c r="B21" s="130"/>
      <c r="C21" s="121"/>
      <c r="D21" s="121"/>
      <c r="E21" s="121"/>
      <c r="F21" s="122" t="b">
        <v>0</v>
      </c>
    </row>
    <row r="22" ht="18.75" customHeight="1">
      <c r="A22" s="123" t="s">
        <v>70</v>
      </c>
      <c r="B22" s="131">
        <f>SUM(B19:B21)</f>
        <v>0</v>
      </c>
      <c r="C22" s="80"/>
      <c r="D22" s="112">
        <f>SUM(D19:D21)</f>
        <v>0</v>
      </c>
      <c r="E22" s="80"/>
      <c r="F22" s="126"/>
    </row>
    <row r="23">
      <c r="A23" s="127"/>
      <c r="B23" s="81"/>
      <c r="C23" s="80"/>
      <c r="D23" s="80"/>
      <c r="E23" s="80"/>
      <c r="F23" s="126"/>
    </row>
    <row r="24">
      <c r="A24" s="127"/>
      <c r="B24" s="81"/>
      <c r="C24" s="80"/>
      <c r="D24" s="80"/>
      <c r="E24" s="80"/>
      <c r="F24" s="80"/>
    </row>
    <row r="25">
      <c r="A25" s="127"/>
      <c r="B25" s="81"/>
      <c r="C25" s="80"/>
      <c r="D25" s="80"/>
      <c r="E25" s="80"/>
      <c r="F25" s="80"/>
    </row>
  </sheetData>
  <dataValidations>
    <dataValidation type="list" allowBlank="1" showErrorMessage="1" sqref="A5:A8 A11:A16 A19:A21">
      <formula1>Datos!$B$3:$B$52</formula1>
    </dataValidation>
    <dataValidation type="custom" allowBlank="1" showDropDown="1" sqref="B2">
      <formula1>OR(NOT(ISERROR(DATEVALUE(B2))), AND(ISNUMBER(B2), LEFT(CELL("format", B2))="D"))</formula1>
    </dataValidation>
  </dataValidations>
  <printOptions/>
  <pageMargins bottom="0.42" footer="0.0" header="0.0" left="0.15748031496062992" right="0.15748031496062992" top="0.44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7.71"/>
    <col customWidth="1" min="10" max="10" width="26.86"/>
  </cols>
  <sheetData>
    <row r="2">
      <c r="B2" s="136" t="s">
        <v>10</v>
      </c>
      <c r="C2" s="136" t="s">
        <v>77</v>
      </c>
      <c r="D2" s="136" t="s">
        <v>78</v>
      </c>
    </row>
    <row r="3">
      <c r="B3" s="137" t="s">
        <v>79</v>
      </c>
      <c r="C3" s="136">
        <v>6.3</v>
      </c>
    </row>
    <row r="4">
      <c r="B4" s="138" t="s">
        <v>80</v>
      </c>
      <c r="C4" s="136">
        <v>4.7</v>
      </c>
    </row>
    <row r="5">
      <c r="B5" s="138" t="s">
        <v>81</v>
      </c>
      <c r="C5" s="136"/>
    </row>
    <row r="6">
      <c r="B6" s="137" t="s">
        <v>2</v>
      </c>
      <c r="C6" s="136">
        <v>0.0</v>
      </c>
    </row>
    <row r="7">
      <c r="B7" s="138" t="s">
        <v>54</v>
      </c>
      <c r="C7" s="136"/>
    </row>
    <row r="8">
      <c r="B8" s="138" t="s">
        <v>59</v>
      </c>
      <c r="C8" s="136"/>
    </row>
    <row r="9">
      <c r="B9" s="138" t="s">
        <v>63</v>
      </c>
      <c r="C9" s="136"/>
    </row>
    <row r="10">
      <c r="B10" s="137" t="s">
        <v>82</v>
      </c>
      <c r="C10" s="136">
        <v>21.8</v>
      </c>
    </row>
    <row r="11">
      <c r="B11" s="138" t="s">
        <v>83</v>
      </c>
      <c r="C11" s="136"/>
    </row>
    <row r="12">
      <c r="B12" s="137" t="s">
        <v>84</v>
      </c>
      <c r="C12" s="136">
        <v>12.0</v>
      </c>
    </row>
    <row r="13">
      <c r="B13" s="137" t="s">
        <v>85</v>
      </c>
      <c r="C13" s="136">
        <v>3.6</v>
      </c>
    </row>
    <row r="14">
      <c r="B14" s="137" t="s">
        <v>86</v>
      </c>
      <c r="C14" s="136">
        <v>24.5</v>
      </c>
    </row>
    <row r="15">
      <c r="B15" s="137" t="s">
        <v>87</v>
      </c>
      <c r="C15" s="136">
        <v>11.0</v>
      </c>
    </row>
    <row r="16">
      <c r="B16" s="138" t="s">
        <v>88</v>
      </c>
      <c r="C16" s="136"/>
    </row>
    <row r="17">
      <c r="B17" s="137" t="s">
        <v>89</v>
      </c>
      <c r="C17" s="136">
        <v>8.6</v>
      </c>
    </row>
    <row r="18">
      <c r="B18" s="137" t="s">
        <v>90</v>
      </c>
      <c r="C18" s="136">
        <v>17.8</v>
      </c>
      <c r="J18" s="139"/>
    </row>
    <row r="19">
      <c r="B19" s="140" t="s">
        <v>62</v>
      </c>
      <c r="C19" s="136"/>
      <c r="J19" s="139"/>
    </row>
    <row r="20">
      <c r="B20" s="137" t="s">
        <v>91</v>
      </c>
      <c r="C20" s="136">
        <v>16.0</v>
      </c>
      <c r="J20" s="139" t="s">
        <v>92</v>
      </c>
    </row>
    <row r="21">
      <c r="B21" s="137" t="s">
        <v>93</v>
      </c>
      <c r="C21" s="136">
        <v>37.0</v>
      </c>
      <c r="J21" s="139" t="s">
        <v>61</v>
      </c>
    </row>
    <row r="22">
      <c r="B22" s="137" t="s">
        <v>94</v>
      </c>
      <c r="C22" s="136">
        <v>0.0</v>
      </c>
      <c r="J22" s="139" t="s">
        <v>95</v>
      </c>
    </row>
    <row r="23">
      <c r="B23" s="137" t="s">
        <v>76</v>
      </c>
      <c r="C23" s="136">
        <v>0.0</v>
      </c>
      <c r="J23" s="139" t="s">
        <v>62</v>
      </c>
    </row>
    <row r="24">
      <c r="B24" s="138" t="s">
        <v>96</v>
      </c>
      <c r="C24" s="136">
        <v>0.0</v>
      </c>
      <c r="J24" s="139" t="s">
        <v>54</v>
      </c>
    </row>
    <row r="25">
      <c r="B25" s="137" t="s">
        <v>97</v>
      </c>
      <c r="C25" s="136">
        <v>0.0</v>
      </c>
      <c r="J25" s="139"/>
    </row>
    <row r="26">
      <c r="B26" s="137" t="s">
        <v>98</v>
      </c>
      <c r="C26" s="136">
        <v>0.0</v>
      </c>
    </row>
    <row r="27">
      <c r="B27" s="138" t="s">
        <v>100</v>
      </c>
      <c r="C27" s="136"/>
    </row>
    <row r="28">
      <c r="B28" s="138" t="s">
        <v>101</v>
      </c>
      <c r="C28" s="136"/>
    </row>
    <row r="29">
      <c r="B29" s="138" t="s">
        <v>102</v>
      </c>
      <c r="C29" s="136"/>
    </row>
    <row r="30">
      <c r="B30" s="138" t="s">
        <v>43</v>
      </c>
      <c r="C30" s="136"/>
    </row>
    <row r="31">
      <c r="B31" s="137" t="s">
        <v>64</v>
      </c>
      <c r="C31" s="136">
        <v>38.0</v>
      </c>
    </row>
    <row r="32">
      <c r="B32" s="138" t="s">
        <v>49</v>
      </c>
      <c r="C32" s="136"/>
    </row>
    <row r="33">
      <c r="B33" s="138" t="s">
        <v>103</v>
      </c>
      <c r="C33" s="136">
        <v>4.2</v>
      </c>
    </row>
    <row r="34">
      <c r="B34" s="137" t="s">
        <v>104</v>
      </c>
      <c r="C34" s="136">
        <v>10.0</v>
      </c>
    </row>
    <row r="35">
      <c r="B35" s="137" t="s">
        <v>105</v>
      </c>
      <c r="C35" s="136">
        <v>3.81</v>
      </c>
    </row>
    <row r="36">
      <c r="B36" s="138" t="s">
        <v>106</v>
      </c>
      <c r="C36" s="136"/>
    </row>
    <row r="37">
      <c r="B37" s="138" t="s">
        <v>107</v>
      </c>
      <c r="C37" s="136"/>
    </row>
    <row r="38">
      <c r="B38" s="138" t="s">
        <v>108</v>
      </c>
      <c r="C38" s="136">
        <v>4.0</v>
      </c>
    </row>
    <row r="39">
      <c r="B39" s="138" t="s">
        <v>67</v>
      </c>
      <c r="C39" s="136"/>
    </row>
    <row r="40">
      <c r="B40" s="137" t="s">
        <v>109</v>
      </c>
      <c r="C40" s="136">
        <v>17.8</v>
      </c>
    </row>
    <row r="41">
      <c r="B41" s="138" t="s">
        <v>110</v>
      </c>
      <c r="C41" s="136">
        <v>32.0</v>
      </c>
    </row>
    <row r="42">
      <c r="B42" s="137" t="s">
        <v>112</v>
      </c>
      <c r="C42" s="136">
        <v>15.4</v>
      </c>
    </row>
    <row r="43">
      <c r="B43" s="138" t="s">
        <v>99</v>
      </c>
      <c r="C43" s="136">
        <v>35.3</v>
      </c>
    </row>
    <row r="44">
      <c r="B44" s="138" t="s">
        <v>111</v>
      </c>
      <c r="C44" s="136">
        <v>38.4</v>
      </c>
    </row>
    <row r="45">
      <c r="B45" s="137" t="s">
        <v>113</v>
      </c>
      <c r="C45" s="136">
        <v>37.6</v>
      </c>
    </row>
    <row r="46">
      <c r="B46" s="138" t="s">
        <v>61</v>
      </c>
      <c r="C46" s="136"/>
    </row>
    <row r="47">
      <c r="B47" s="137" t="s">
        <v>45</v>
      </c>
      <c r="C47" s="136">
        <v>1.1</v>
      </c>
    </row>
    <row r="48">
      <c r="B48" s="137" t="s">
        <v>114</v>
      </c>
      <c r="C48" s="136">
        <v>8.2</v>
      </c>
    </row>
    <row r="49">
      <c r="B49" s="137" t="s">
        <v>115</v>
      </c>
      <c r="C49" s="136">
        <v>0.0</v>
      </c>
    </row>
    <row r="50">
      <c r="B50" s="138" t="s">
        <v>116</v>
      </c>
      <c r="C50" s="136"/>
    </row>
    <row r="51">
      <c r="B51" s="138" t="s">
        <v>75</v>
      </c>
      <c r="C51" s="136"/>
    </row>
    <row r="52">
      <c r="B52" s="137" t="s">
        <v>117</v>
      </c>
      <c r="C52" s="136">
        <v>5.6</v>
      </c>
    </row>
  </sheetData>
  <autoFilter ref="$B$2:$D$52">
    <sortState ref="B2:D52">
      <sortCondition ref="B2:B52"/>
    </sortState>
  </autoFilter>
  <drawing r:id="rId1"/>
</worksheet>
</file>